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JANG\Desktop\letuin\공정6기\data\"/>
    </mc:Choice>
  </mc:AlternateContent>
  <bookViews>
    <workbookView xWindow="-120" yWindow="-120" windowWidth="38640" windowHeight="15840"/>
  </bookViews>
  <sheets>
    <sheet name="SiO2_Thickness Table" sheetId="1" r:id="rId1"/>
    <sheet name="결과 정리" sheetId="2" r:id="rId2"/>
    <sheet name="결과 분석" sheetId="3" r:id="rId3"/>
  </sheets>
  <definedNames>
    <definedName name="_xlchart.0" hidden="1">'SiO2_Thickness Table'!$D$62:$V$62</definedName>
    <definedName name="_xlchart.1" hidden="1">'SiO2_Thickness Table'!$D$62:$V$62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1" i="1" l="1"/>
  <c r="D70" i="1"/>
  <c r="D69" i="1"/>
  <c r="D68" i="1"/>
  <c r="D67" i="1"/>
  <c r="W62" i="1"/>
  <c r="T27" i="3" l="1"/>
  <c r="S27" i="3"/>
  <c r="T26" i="3"/>
  <c r="S26" i="3"/>
  <c r="T25" i="3"/>
  <c r="S25" i="3"/>
  <c r="T24" i="3"/>
  <c r="S24" i="3"/>
  <c r="T23" i="3"/>
  <c r="S23" i="3"/>
  <c r="T22" i="3"/>
  <c r="S22" i="3"/>
  <c r="P23" i="3"/>
  <c r="P22" i="3"/>
  <c r="O23" i="3"/>
  <c r="O22" i="3"/>
  <c r="T18" i="3"/>
  <c r="S18" i="3"/>
  <c r="T17" i="3"/>
  <c r="S17" i="3"/>
  <c r="T16" i="3"/>
  <c r="S16" i="3"/>
  <c r="T15" i="3"/>
  <c r="S15" i="3"/>
  <c r="T14" i="3"/>
  <c r="S14" i="3"/>
  <c r="T13" i="3"/>
  <c r="S13" i="3"/>
  <c r="P14" i="3"/>
  <c r="P13" i="3"/>
  <c r="O14" i="3"/>
  <c r="O13" i="3"/>
  <c r="H47" i="3"/>
  <c r="H46" i="3"/>
  <c r="H45" i="3"/>
  <c r="G47" i="3"/>
  <c r="G46" i="3"/>
  <c r="G45" i="3"/>
  <c r="D47" i="3"/>
  <c r="D46" i="3"/>
  <c r="D45" i="3"/>
  <c r="C47" i="3"/>
  <c r="C46" i="3"/>
  <c r="C45" i="3"/>
  <c r="H41" i="3"/>
  <c r="H40" i="3"/>
  <c r="H39" i="3"/>
  <c r="G41" i="3"/>
  <c r="G40" i="3"/>
  <c r="G39" i="3"/>
  <c r="D41" i="3"/>
  <c r="D40" i="3"/>
  <c r="D39" i="3"/>
  <c r="C41" i="3"/>
  <c r="C40" i="3"/>
  <c r="C39" i="3"/>
  <c r="H35" i="3"/>
  <c r="H34" i="3"/>
  <c r="H33" i="3"/>
  <c r="G35" i="3"/>
  <c r="G34" i="3"/>
  <c r="G33" i="3"/>
  <c r="D35" i="3"/>
  <c r="D34" i="3"/>
  <c r="D33" i="3"/>
  <c r="C35" i="3"/>
  <c r="C34" i="3"/>
  <c r="C33" i="3"/>
  <c r="H29" i="3"/>
  <c r="G29" i="3"/>
  <c r="D29" i="3"/>
  <c r="C29" i="3"/>
  <c r="H28" i="3"/>
  <c r="H27" i="3"/>
  <c r="G28" i="3"/>
  <c r="G27" i="3"/>
  <c r="D28" i="3"/>
  <c r="D27" i="3"/>
  <c r="C28" i="3"/>
  <c r="C27" i="3"/>
  <c r="H23" i="3"/>
  <c r="H22" i="3"/>
  <c r="H21" i="3"/>
  <c r="G23" i="3"/>
  <c r="G22" i="3"/>
  <c r="G21" i="3"/>
  <c r="D23" i="3"/>
  <c r="D22" i="3"/>
  <c r="D21" i="3"/>
  <c r="C23" i="3"/>
  <c r="C22" i="3"/>
  <c r="C21" i="3"/>
  <c r="H17" i="3"/>
  <c r="H16" i="3"/>
  <c r="H15" i="3"/>
  <c r="G17" i="3"/>
  <c r="G16" i="3"/>
  <c r="G15" i="3"/>
  <c r="D17" i="3"/>
  <c r="D16" i="3"/>
  <c r="D15" i="3"/>
  <c r="C17" i="3"/>
  <c r="C16" i="3"/>
  <c r="C15" i="3"/>
  <c r="X23" i="2"/>
  <c r="W23" i="2"/>
  <c r="V23" i="2"/>
  <c r="U23" i="2"/>
  <c r="S23" i="2"/>
  <c r="R23" i="2"/>
  <c r="Q23" i="2"/>
  <c r="P23" i="2"/>
  <c r="X22" i="2"/>
  <c r="W22" i="2"/>
  <c r="V22" i="2"/>
  <c r="U22" i="2"/>
  <c r="S22" i="2"/>
  <c r="R22" i="2"/>
  <c r="Q22" i="2"/>
  <c r="P22" i="2"/>
  <c r="X21" i="2"/>
  <c r="W21" i="2"/>
  <c r="V21" i="2"/>
  <c r="U21" i="2"/>
  <c r="S21" i="2"/>
  <c r="R21" i="2"/>
  <c r="Q21" i="2"/>
  <c r="P21" i="2"/>
  <c r="X20" i="2"/>
  <c r="W20" i="2"/>
  <c r="V20" i="2"/>
  <c r="U20" i="2"/>
  <c r="S20" i="2"/>
  <c r="R20" i="2"/>
  <c r="Q20" i="2"/>
  <c r="P20" i="2"/>
  <c r="X19" i="2"/>
  <c r="W19" i="2"/>
  <c r="V19" i="2"/>
  <c r="U19" i="2"/>
  <c r="S19" i="2"/>
  <c r="R19" i="2"/>
  <c r="Q19" i="2"/>
  <c r="P19" i="2"/>
  <c r="X18" i="2"/>
  <c r="W18" i="2"/>
  <c r="V18" i="2"/>
  <c r="U18" i="2"/>
  <c r="S18" i="2"/>
  <c r="R18" i="2"/>
  <c r="Q18" i="2"/>
  <c r="P18" i="2"/>
  <c r="X17" i="2"/>
  <c r="W17" i="2"/>
  <c r="V17" i="2"/>
  <c r="U17" i="2"/>
  <c r="S17" i="2"/>
  <c r="R17" i="2"/>
  <c r="Q17" i="2"/>
  <c r="P17" i="2"/>
  <c r="X16" i="2"/>
  <c r="W16" i="2"/>
  <c r="V16" i="2"/>
  <c r="U16" i="2"/>
  <c r="S16" i="2"/>
  <c r="R16" i="2"/>
  <c r="Q16" i="2"/>
  <c r="P16" i="2"/>
  <c r="X15" i="2"/>
  <c r="W15" i="2"/>
  <c r="V15" i="2"/>
  <c r="U15" i="2"/>
  <c r="S15" i="2"/>
  <c r="R15" i="2"/>
  <c r="Q15" i="2"/>
  <c r="P15" i="2"/>
  <c r="X14" i="2"/>
  <c r="W14" i="2"/>
  <c r="V14" i="2"/>
  <c r="U14" i="2"/>
  <c r="S14" i="2"/>
  <c r="R14" i="2"/>
  <c r="Q14" i="2"/>
  <c r="P14" i="2"/>
  <c r="X13" i="2"/>
  <c r="W13" i="2"/>
  <c r="V13" i="2"/>
  <c r="U13" i="2"/>
  <c r="S13" i="2"/>
  <c r="R13" i="2"/>
  <c r="Q13" i="2"/>
  <c r="P13" i="2"/>
  <c r="X12" i="2"/>
  <c r="W12" i="2"/>
  <c r="V12" i="2"/>
  <c r="U12" i="2"/>
  <c r="S12" i="2"/>
  <c r="R12" i="2"/>
  <c r="Q12" i="2"/>
  <c r="P12" i="2"/>
  <c r="X11" i="2"/>
  <c r="W11" i="2"/>
  <c r="V11" i="2"/>
  <c r="U11" i="2"/>
  <c r="S11" i="2"/>
  <c r="R11" i="2"/>
  <c r="Q11" i="2"/>
  <c r="P11" i="2"/>
  <c r="X10" i="2"/>
  <c r="W10" i="2"/>
  <c r="V10" i="2"/>
  <c r="U10" i="2"/>
  <c r="S10" i="2"/>
  <c r="R10" i="2"/>
  <c r="Q10" i="2"/>
  <c r="P10" i="2"/>
  <c r="X9" i="2"/>
  <c r="W9" i="2"/>
  <c r="V9" i="2"/>
  <c r="U9" i="2"/>
  <c r="S9" i="2"/>
  <c r="R9" i="2"/>
  <c r="Q9" i="2"/>
  <c r="P9" i="2"/>
  <c r="X8" i="2"/>
  <c r="W8" i="2"/>
  <c r="V8" i="2"/>
  <c r="U8" i="2"/>
  <c r="S8" i="2"/>
  <c r="R8" i="2"/>
  <c r="Q8" i="2"/>
  <c r="P8" i="2"/>
  <c r="X7" i="2"/>
  <c r="W7" i="2"/>
  <c r="V7" i="2"/>
  <c r="U7" i="2"/>
  <c r="S7" i="2"/>
  <c r="R7" i="2"/>
  <c r="Q7" i="2"/>
  <c r="P7" i="2"/>
  <c r="X6" i="2"/>
  <c r="W6" i="2"/>
  <c r="V6" i="2"/>
  <c r="U6" i="2"/>
  <c r="S6" i="2"/>
  <c r="R6" i="2"/>
  <c r="Q6" i="2"/>
  <c r="P6" i="2"/>
  <c r="X5" i="2"/>
  <c r="W5" i="2"/>
  <c r="V5" i="2"/>
  <c r="U5" i="2"/>
  <c r="S5" i="2"/>
  <c r="R5" i="2"/>
  <c r="Q5" i="2"/>
  <c r="P5" i="2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E63" i="1" l="1"/>
  <c r="E64" i="1" s="1"/>
  <c r="F63" i="1"/>
  <c r="F64" i="1" s="1"/>
  <c r="G63" i="1"/>
  <c r="G64" i="1" s="1"/>
  <c r="H63" i="1"/>
  <c r="H64" i="1" s="1"/>
  <c r="I63" i="1"/>
  <c r="I64" i="1" s="1"/>
  <c r="J63" i="1"/>
  <c r="J64" i="1" s="1"/>
  <c r="K63" i="1"/>
  <c r="K64" i="1" s="1"/>
  <c r="L63" i="1"/>
  <c r="L64" i="1" s="1"/>
  <c r="M63" i="1"/>
  <c r="M64" i="1" s="1"/>
  <c r="N63" i="1"/>
  <c r="N64" i="1" s="1"/>
  <c r="O63" i="1"/>
  <c r="O64" i="1" s="1"/>
  <c r="P63" i="1"/>
  <c r="P64" i="1" s="1"/>
  <c r="Q63" i="1"/>
  <c r="Q64" i="1" s="1"/>
  <c r="R63" i="1"/>
  <c r="R64" i="1" s="1"/>
  <c r="S63" i="1"/>
  <c r="S64" i="1" s="1"/>
  <c r="T63" i="1"/>
  <c r="T64" i="1" s="1"/>
  <c r="U63" i="1"/>
  <c r="U64" i="1" s="1"/>
  <c r="V63" i="1"/>
  <c r="V64" i="1" s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E56" i="1"/>
  <c r="E58" i="1" s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U58" i="1" s="1"/>
  <c r="V56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D57" i="1"/>
  <c r="D56" i="1"/>
  <c r="D55" i="1"/>
  <c r="H58" i="1" l="1"/>
  <c r="G58" i="1"/>
  <c r="T58" i="1"/>
  <c r="G62" i="1"/>
  <c r="U62" i="1"/>
  <c r="H62" i="1"/>
  <c r="E62" i="1"/>
  <c r="T62" i="1"/>
  <c r="K58" i="1"/>
  <c r="J58" i="1"/>
  <c r="J62" i="1"/>
  <c r="I62" i="1"/>
  <c r="V62" i="1"/>
  <c r="F62" i="1"/>
  <c r="S58" i="1"/>
  <c r="R58" i="1"/>
  <c r="R62" i="1"/>
  <c r="Q62" i="1"/>
  <c r="O58" i="1"/>
  <c r="O62" i="1"/>
  <c r="N58" i="1"/>
  <c r="L58" i="1"/>
  <c r="S62" i="1"/>
  <c r="M58" i="1"/>
  <c r="I58" i="1"/>
  <c r="F58" i="1"/>
  <c r="P62" i="1"/>
  <c r="V58" i="1"/>
  <c r="N62" i="1"/>
  <c r="K62" i="1"/>
  <c r="M62" i="1"/>
  <c r="P58" i="1"/>
  <c r="Q58" i="1"/>
  <c r="L62" i="1"/>
  <c r="D63" i="1"/>
  <c r="D64" i="1" s="1"/>
  <c r="D61" i="1" l="1"/>
  <c r="D60" i="1"/>
  <c r="D62" i="1" l="1"/>
  <c r="D58" i="1"/>
</calcChain>
</file>

<file path=xl/sharedStrings.xml><?xml version="1.0" encoding="utf-8"?>
<sst xmlns="http://schemas.openxmlformats.org/spreadsheetml/2006/main" count="190" uniqueCount="108">
  <si>
    <t>No</t>
  </si>
  <si>
    <t>Max</t>
  </si>
  <si>
    <t>Min</t>
  </si>
  <si>
    <t>THK Avg</t>
    <phoneticPr fontId="18" type="noConversion"/>
  </si>
  <si>
    <t>Center</t>
    <phoneticPr fontId="18" type="noConversion"/>
  </si>
  <si>
    <r>
      <t>E</t>
    </r>
    <r>
      <rPr>
        <sz val="11"/>
        <color theme="1"/>
        <rFont val="맑은 고딕"/>
        <family val="2"/>
        <charset val="129"/>
        <scheme val="minor"/>
      </rPr>
      <t>xtreme Edge</t>
    </r>
    <phoneticPr fontId="18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</si>
  <si>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ear center</t>
    </r>
    <phoneticPr fontId="18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</si>
  <si>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ear edge</t>
    </r>
    <phoneticPr fontId="18" type="noConversion"/>
  </si>
  <si>
    <t>49-Point Measurement</t>
    <phoneticPr fontId="18" type="noConversion"/>
  </si>
  <si>
    <t>Total Uniformity</t>
    <phoneticPr fontId="18" type="noConversion"/>
  </si>
  <si>
    <t>Max</t>
    <phoneticPr fontId="18" type="noConversion"/>
  </si>
  <si>
    <t>Min</t>
    <phoneticPr fontId="18" type="noConversion"/>
  </si>
  <si>
    <t>Uniformity 
without ex edge</t>
    <phoneticPr fontId="18" type="noConversion"/>
  </si>
  <si>
    <t>Recipe</t>
    <phoneticPr fontId="18" type="noConversion"/>
  </si>
  <si>
    <t>표준편차</t>
    <phoneticPr fontId="18" type="noConversion"/>
  </si>
  <si>
    <t>표준오차</t>
    <phoneticPr fontId="18" type="noConversion"/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</si>
  <si>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</t>
    </r>
    <phoneticPr fontId="18" type="noConversion"/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</si>
  <si>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2</t>
    </r>
    <phoneticPr fontId="18" type="noConversion"/>
  </si>
  <si>
    <t>EE제외</t>
    <phoneticPr fontId="18" type="noConversion"/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</si>
  <si>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</si>
  <si>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</si>
  <si>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5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</si>
  <si>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</si>
  <si>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</si>
  <si>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</si>
  <si>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</si>
  <si>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</si>
  <si>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11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</si>
  <si>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12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</si>
  <si>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13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</si>
  <si>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</si>
  <si>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15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</si>
  <si>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16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</si>
  <si>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17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</si>
  <si>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18</t>
    </r>
    <r>
      <rPr>
        <sz val="11"/>
        <color theme="1"/>
        <rFont val="맑은 고딕"/>
        <family val="2"/>
        <charset val="129"/>
        <scheme val="minor"/>
      </rPr>
      <t/>
    </r>
  </si>
  <si>
    <t>Prerun1</t>
    <phoneticPr fontId="18" type="noConversion"/>
  </si>
  <si>
    <t>Recipe name</t>
  </si>
  <si>
    <t>Dep_recipe</t>
  </si>
  <si>
    <t>CLN_recipe</t>
  </si>
  <si>
    <t>Gas(sccm)</t>
  </si>
  <si>
    <t>Pressure
(mTorr)</t>
  </si>
  <si>
    <t>Power
(watt)</t>
  </si>
  <si>
    <t>Temp</t>
  </si>
  <si>
    <t>Time
(sec)</t>
  </si>
  <si>
    <t>SiH4</t>
  </si>
  <si>
    <t>N2O</t>
  </si>
  <si>
    <t>N2</t>
  </si>
  <si>
    <t>NF3</t>
  </si>
  <si>
    <t>Ar</t>
  </si>
  <si>
    <t>TES_oxide_run_1</t>
  </si>
  <si>
    <t>TES_oxide_run_2</t>
  </si>
  <si>
    <t>TES_oxide_run_3</t>
  </si>
  <si>
    <t>TES_oxide_run_4</t>
  </si>
  <si>
    <t>TES_oxide_run_5</t>
  </si>
  <si>
    <t>TES_oxide_run_6</t>
  </si>
  <si>
    <t>TES_oxide_run_7</t>
  </si>
  <si>
    <t>TES_oxide_run_8</t>
  </si>
  <si>
    <t>TES_oxide_run_9</t>
  </si>
  <si>
    <t>TES_oxide_run_10</t>
  </si>
  <si>
    <t>TES_oxide_run_11</t>
  </si>
  <si>
    <t>TES_oxide_run_12</t>
  </si>
  <si>
    <t>TES_oxide_run_13</t>
  </si>
  <si>
    <t>TES_oxide_run_14</t>
  </si>
  <si>
    <t>TES_oxide_run_15</t>
  </si>
  <si>
    <t>TES_oxide_run_16</t>
  </si>
  <si>
    <t>TES_oxide_run_17</t>
  </si>
  <si>
    <t>TES_oxide_run_18</t>
  </si>
  <si>
    <t>THK Avg</t>
  </si>
  <si>
    <t>Max.
(Å)</t>
    <phoneticPr fontId="18" type="noConversion"/>
  </si>
  <si>
    <t>Min.
(Å)</t>
    <phoneticPr fontId="18" type="noConversion"/>
  </si>
  <si>
    <t>THK Avg.
(Å)</t>
    <phoneticPr fontId="18" type="noConversion"/>
  </si>
  <si>
    <t>Total Uniformity
(%)</t>
    <phoneticPr fontId="18" type="noConversion"/>
  </si>
  <si>
    <t>Best known method (BKM) recipe</t>
    <phoneticPr fontId="18" type="noConversion"/>
  </si>
  <si>
    <t>Power split</t>
    <phoneticPr fontId="18" type="noConversion"/>
  </si>
  <si>
    <t>Power (watt)</t>
    <phoneticPr fontId="18" type="noConversion"/>
  </si>
  <si>
    <t>THK Avg. (Å)</t>
    <phoneticPr fontId="18" type="noConversion"/>
  </si>
  <si>
    <t>Total Uniformity (%)</t>
    <phoneticPr fontId="18" type="noConversion"/>
  </si>
  <si>
    <t>Pressure split</t>
    <phoneticPr fontId="18" type="noConversion"/>
  </si>
  <si>
    <t>Pressure (mTorr)</t>
    <phoneticPr fontId="18" type="noConversion"/>
  </si>
  <si>
    <t>Temperature split</t>
    <phoneticPr fontId="18" type="noConversion"/>
  </si>
  <si>
    <r>
      <t>Temp
(</t>
    </r>
    <r>
      <rPr>
        <sz val="11"/>
        <color theme="1"/>
        <rFont val="맑은 고딕"/>
        <family val="3"/>
        <charset val="129"/>
      </rPr>
      <t>℃)</t>
    </r>
    <phoneticPr fontId="18" type="noConversion"/>
  </si>
  <si>
    <r>
      <t>Temperature (</t>
    </r>
    <r>
      <rPr>
        <sz val="11"/>
        <color theme="1"/>
        <rFont val="맑은 고딕"/>
        <family val="3"/>
        <charset val="129"/>
      </rPr>
      <t>℃)</t>
    </r>
    <phoneticPr fontId="18" type="noConversion"/>
  </si>
  <si>
    <t>SiH4 split</t>
    <phoneticPr fontId="18" type="noConversion"/>
  </si>
  <si>
    <t>SiH4 (sccm)</t>
    <phoneticPr fontId="18" type="noConversion"/>
  </si>
  <si>
    <t>Releflectometer (EE제외)</t>
    <phoneticPr fontId="18" type="noConversion"/>
  </si>
  <si>
    <t>Releflectometer (Total)</t>
    <phoneticPr fontId="18" type="noConversion"/>
  </si>
  <si>
    <t>Reflectometer (Total)</t>
    <phoneticPr fontId="18" type="noConversion"/>
  </si>
  <si>
    <t>N2O split</t>
    <phoneticPr fontId="18" type="noConversion"/>
  </si>
  <si>
    <t>N2O (sccm)</t>
    <phoneticPr fontId="18" type="noConversion"/>
  </si>
  <si>
    <t>N2 split</t>
    <phoneticPr fontId="18" type="noConversion"/>
  </si>
  <si>
    <t>N2 (sccm)</t>
    <phoneticPr fontId="18" type="noConversion"/>
  </si>
  <si>
    <t>Reflectometer (EE제외)</t>
    <phoneticPr fontId="18" type="noConversion"/>
  </si>
  <si>
    <t>변수에 따른 계측 결과 변화</t>
    <phoneticPr fontId="18" type="noConversion"/>
  </si>
  <si>
    <t>재현성</t>
    <phoneticPr fontId="18" type="noConversion"/>
  </si>
  <si>
    <t>Recipe name</t>
    <phoneticPr fontId="18" type="noConversion"/>
  </si>
  <si>
    <t>TES_oxide_prerun_1</t>
    <phoneticPr fontId="18" type="noConversion"/>
  </si>
  <si>
    <t>TES_oxide_run_2</t>
    <phoneticPr fontId="18" type="noConversion"/>
  </si>
  <si>
    <t>TES_oxide_run_6</t>
    <phoneticPr fontId="18" type="noConversion"/>
  </si>
  <si>
    <r>
      <t xml:space="preserve">온도 (360 </t>
    </r>
    <r>
      <rPr>
        <b/>
        <sz val="11"/>
        <color theme="1"/>
        <rFont val="맑은 고딕"/>
        <family val="3"/>
        <charset val="129"/>
      </rPr>
      <t>℃) - prerun 포함</t>
    </r>
    <phoneticPr fontId="18" type="noConversion"/>
  </si>
  <si>
    <r>
      <t xml:space="preserve">온도 (400 </t>
    </r>
    <r>
      <rPr>
        <b/>
        <sz val="11"/>
        <color theme="1"/>
        <rFont val="맑은 고딕"/>
        <family val="3"/>
        <charset val="129"/>
      </rPr>
      <t>℃)</t>
    </r>
    <phoneticPr fontId="18" type="noConversion"/>
  </si>
  <si>
    <r>
      <t xml:space="preserve">온도 (360 </t>
    </r>
    <r>
      <rPr>
        <b/>
        <sz val="11"/>
        <color theme="1"/>
        <rFont val="맑은 고딕"/>
        <family val="3"/>
        <charset val="129"/>
      </rPr>
      <t>℃) - prerun 포함 (EE 제외)</t>
    </r>
    <phoneticPr fontId="18" type="noConversion"/>
  </si>
  <si>
    <r>
      <t xml:space="preserve">온도 (400 </t>
    </r>
    <r>
      <rPr>
        <b/>
        <sz val="11"/>
        <color theme="1"/>
        <rFont val="맑은 고딕"/>
        <family val="3"/>
        <charset val="129"/>
      </rPr>
      <t>℃)</t>
    </r>
    <r>
      <rPr>
        <b/>
        <sz val="11"/>
        <color theme="1"/>
        <rFont val="맑은 고딕"/>
        <family val="3"/>
        <charset val="129"/>
        <scheme val="minor"/>
      </rPr>
      <t xml:space="preserve"> (EE제외)</t>
    </r>
    <phoneticPr fontId="18" type="noConversion"/>
  </si>
  <si>
    <t>융합연구단 + TES Oxide BKM split test</t>
    <phoneticPr fontId="18" type="noConversion"/>
  </si>
  <si>
    <t>Uniformity avg</t>
    <phoneticPr fontId="18" type="noConversion"/>
  </si>
  <si>
    <t>Uniformity 
상위 1분위</t>
    <phoneticPr fontId="18" type="noConversion"/>
  </si>
  <si>
    <t>Uniformity 
상위 2 분위</t>
    <phoneticPr fontId="18" type="noConversion"/>
  </si>
  <si>
    <t>Uniformity 
상위 3분위</t>
    <phoneticPr fontId="18" type="noConversion"/>
  </si>
  <si>
    <t>Uniformity 
상위 4분위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</si>
</sst>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double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double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double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77">
    <xf numFmtId="0" fontId="0" fillId="0" borderId="0" xfId="0">
      <alignment vertical="center"/>
    </xf>
    <xf numFmtId="0" fontId="1" fillId="11" borderId="18" xfId="20" applyBorder="1" applyAlignment="1">
      <alignment horizontal="center" vertical="center"/>
    </xf>
    <xf numFmtId="0" fontId="1" fillId="11" borderId="10" xfId="20" applyBorder="1" applyAlignment="1">
      <alignment horizontal="center" vertical="center"/>
    </xf>
    <xf numFmtId="0" fontId="1" fillId="11" borderId="19" xfId="20" applyBorder="1" applyAlignment="1">
      <alignment horizontal="center" vertical="center"/>
    </xf>
    <xf numFmtId="0" fontId="1" fillId="11" borderId="23" xfId="20" applyBorder="1" applyAlignment="1">
      <alignment horizontal="center" vertical="center"/>
    </xf>
    <xf numFmtId="0" fontId="1" fillId="11" borderId="15" xfId="20" applyBorder="1" applyAlignment="1">
      <alignment horizontal="center" vertical="center"/>
    </xf>
    <xf numFmtId="0" fontId="1" fillId="11" borderId="16" xfId="20" applyBorder="1" applyAlignment="1">
      <alignment horizontal="center" vertical="center"/>
    </xf>
    <xf numFmtId="0" fontId="1" fillId="11" borderId="17" xfId="20" applyBorder="1" applyAlignment="1">
      <alignment horizontal="center" vertical="center"/>
    </xf>
    <xf numFmtId="0" fontId="1" fillId="11" borderId="20" xfId="20" applyBorder="1" applyAlignment="1">
      <alignment horizontal="center" vertical="center"/>
    </xf>
    <xf numFmtId="0" fontId="1" fillId="11" borderId="21" xfId="20" applyBorder="1" applyAlignment="1">
      <alignment horizontal="center" vertical="center"/>
    </xf>
    <xf numFmtId="0" fontId="1" fillId="11" borderId="22" xfId="20" applyBorder="1" applyAlignment="1">
      <alignment horizontal="center" vertical="center"/>
    </xf>
    <xf numFmtId="0" fontId="1" fillId="33" borderId="18" xfId="20" applyFill="1" applyBorder="1" applyAlignment="1">
      <alignment horizontal="center" vertical="center"/>
    </xf>
    <xf numFmtId="0" fontId="1" fillId="34" borderId="18" xfId="20" applyFill="1" applyBorder="1" applyAlignment="1">
      <alignment horizontal="center" vertical="center"/>
    </xf>
    <xf numFmtId="0" fontId="1" fillId="35" borderId="18" xfId="20" applyFill="1" applyBorder="1" applyAlignment="1">
      <alignment horizontal="center" vertical="center"/>
    </xf>
    <xf numFmtId="0" fontId="1" fillId="35" borderId="23" xfId="20" applyFill="1" applyBorder="1" applyAlignment="1">
      <alignment horizontal="center" vertical="center"/>
    </xf>
    <xf numFmtId="0" fontId="1" fillId="36" borderId="26" xfId="20" applyFill="1" applyBorder="1" applyAlignment="1">
      <alignment horizontal="center" vertical="center"/>
    </xf>
    <xf numFmtId="0" fontId="1" fillId="34" borderId="15" xfId="20" applyFill="1" applyBorder="1" applyAlignment="1">
      <alignment horizontal="center" vertical="center"/>
    </xf>
    <xf numFmtId="0" fontId="1" fillId="34" borderId="20" xfId="20" applyFill="1" applyBorder="1" applyAlignment="1">
      <alignment horizontal="center" vertical="center"/>
    </xf>
    <xf numFmtId="0" fontId="1" fillId="35" borderId="25" xfId="20" applyFill="1" applyBorder="1" applyAlignment="1">
      <alignment horizontal="center" vertical="center"/>
    </xf>
    <xf numFmtId="0" fontId="1" fillId="33" borderId="15" xfId="20" applyFill="1" applyBorder="1" applyAlignment="1">
      <alignment horizontal="center" vertical="center"/>
    </xf>
    <xf numFmtId="0" fontId="1" fillId="33" borderId="20" xfId="20" applyFill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6" borderId="27" xfId="20" applyFont="1" applyFill="1" applyBorder="1" applyAlignment="1">
      <alignment vertical="center"/>
    </xf>
    <xf numFmtId="0" fontId="0" fillId="34" borderId="27" xfId="20" applyFont="1" applyFill="1" applyBorder="1" applyAlignment="1">
      <alignment vertical="center"/>
    </xf>
    <xf numFmtId="0" fontId="0" fillId="33" borderId="27" xfId="20" applyFont="1" applyFill="1" applyBorder="1" applyAlignment="1">
      <alignment vertical="center"/>
    </xf>
    <xf numFmtId="0" fontId="0" fillId="35" borderId="28" xfId="20" applyFont="1" applyFill="1" applyBorder="1" applyAlignment="1">
      <alignment vertical="center"/>
    </xf>
    <xf numFmtId="0" fontId="0" fillId="11" borderId="14" xfId="2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9" xfId="0" applyBorder="1">
      <alignment vertical="center"/>
    </xf>
    <xf numFmtId="0" fontId="0" fillId="11" borderId="30" xfId="20" applyFont="1" applyBorder="1" applyAlignment="1">
      <alignment horizontal="center" vertical="center"/>
    </xf>
    <xf numFmtId="0" fontId="0" fillId="11" borderId="31" xfId="20" applyFont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1" xfId="0" applyBorder="1" applyAlignment="1">
      <alignment horizontal="center" vertical="center" wrapText="1"/>
    </xf>
    <xf numFmtId="10" fontId="0" fillId="0" borderId="32" xfId="0" applyNumberFormat="1" applyBorder="1">
      <alignment vertical="center"/>
    </xf>
    <xf numFmtId="10" fontId="0" fillId="0" borderId="33" xfId="0" applyNumberFormat="1" applyBorder="1">
      <alignment vertical="center"/>
    </xf>
    <xf numFmtId="0" fontId="0" fillId="11" borderId="24" xfId="20" applyFont="1" applyBorder="1" applyAlignment="1">
      <alignment horizontal="center" vertical="center"/>
    </xf>
    <xf numFmtId="10" fontId="0" fillId="0" borderId="0" xfId="0" applyNumberFormat="1" applyBorder="1">
      <alignment vertical="center"/>
    </xf>
    <xf numFmtId="0" fontId="1" fillId="0" borderId="0" xfId="20" applyFill="1" applyBorder="1" applyAlignment="1">
      <alignment horizontal="center" vertical="center"/>
    </xf>
    <xf numFmtId="0" fontId="0" fillId="0" borderId="0" xfId="0" applyFill="1">
      <alignment vertical="center"/>
    </xf>
    <xf numFmtId="10" fontId="0" fillId="0" borderId="0" xfId="0" applyNumberFormat="1" applyFill="1">
      <alignment vertical="center"/>
    </xf>
    <xf numFmtId="0" fontId="0" fillId="0" borderId="0" xfId="0">
      <alignment vertical="center"/>
    </xf>
    <xf numFmtId="0" fontId="0" fillId="0" borderId="2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42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37" borderId="0" xfId="0" applyFill="1" applyBorder="1">
      <alignment vertical="center"/>
    </xf>
    <xf numFmtId="0" fontId="0" fillId="37" borderId="32" xfId="0" applyFill="1" applyBorder="1">
      <alignment vertical="center"/>
    </xf>
    <xf numFmtId="10" fontId="0" fillId="0" borderId="29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0" fillId="11" borderId="23" xfId="20" applyFont="1" applyBorder="1" applyAlignment="1">
      <alignment horizontal="center" vertical="center"/>
    </xf>
    <xf numFmtId="10" fontId="1" fillId="11" borderId="14" xfId="20" applyNumberFormat="1" applyBorder="1" applyAlignment="1">
      <alignment horizontal="center" vertical="center"/>
    </xf>
    <xf numFmtId="10" fontId="1" fillId="11" borderId="24" xfId="20" applyNumberFormat="1" applyBorder="1" applyAlignment="1">
      <alignment horizontal="center" vertical="center"/>
    </xf>
    <xf numFmtId="0" fontId="1" fillId="38" borderId="12" xfId="20" applyFill="1" applyBorder="1" applyAlignment="1">
      <alignment horizontal="center" vertical="center"/>
    </xf>
    <xf numFmtId="0" fontId="1" fillId="38" borderId="13" xfId="20" applyFill="1" applyBorder="1" applyAlignment="1">
      <alignment horizontal="center" vertical="center"/>
    </xf>
    <xf numFmtId="0" fontId="0" fillId="39" borderId="11" xfId="0" applyFill="1" applyBorder="1" applyAlignment="1">
      <alignment horizontal="center" vertical="center"/>
    </xf>
    <xf numFmtId="0" fontId="27" fillId="0" borderId="0" xfId="0" applyFont="1" applyBorder="1">
      <alignment vertical="center"/>
    </xf>
    <xf numFmtId="10" fontId="27" fillId="0" borderId="29" xfId="0" applyNumberFormat="1" applyFont="1" applyBorder="1">
      <alignment vertical="center"/>
    </xf>
    <xf numFmtId="10" fontId="27" fillId="0" borderId="0" xfId="0" applyNumberFormat="1" applyFont="1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27" fillId="0" borderId="54" xfId="0" applyFont="1" applyBorder="1">
      <alignment vertical="center"/>
    </xf>
    <xf numFmtId="10" fontId="0" fillId="0" borderId="55" xfId="0" applyNumberFormat="1" applyBorder="1">
      <alignment vertical="center"/>
    </xf>
    <xf numFmtId="0" fontId="27" fillId="0" borderId="61" xfId="0" applyFont="1" applyBorder="1">
      <alignment vertical="center"/>
    </xf>
    <xf numFmtId="0" fontId="0" fillId="0" borderId="63" xfId="0" applyBorder="1">
      <alignment vertical="center"/>
    </xf>
    <xf numFmtId="0" fontId="0" fillId="0" borderId="61" xfId="0" applyBorder="1">
      <alignment vertical="center"/>
    </xf>
    <xf numFmtId="10" fontId="0" fillId="0" borderId="64" xfId="0" applyNumberFormat="1" applyBorder="1">
      <alignment vertical="center"/>
    </xf>
    <xf numFmtId="10" fontId="0" fillId="0" borderId="65" xfId="0" applyNumberFormat="1" applyBorder="1">
      <alignment vertical="center"/>
    </xf>
    <xf numFmtId="0" fontId="0" fillId="0" borderId="66" xfId="0" applyBorder="1">
      <alignment vertical="center"/>
    </xf>
    <xf numFmtId="0" fontId="27" fillId="0" borderId="66" xfId="0" applyFont="1" applyBorder="1">
      <alignment vertical="center"/>
    </xf>
    <xf numFmtId="10" fontId="27" fillId="0" borderId="55" xfId="0" applyNumberFormat="1" applyFont="1" applyBorder="1">
      <alignment vertical="center"/>
    </xf>
    <xf numFmtId="0" fontId="27" fillId="0" borderId="51" xfId="0" applyFont="1" applyBorder="1">
      <alignment vertical="center"/>
    </xf>
    <xf numFmtId="0" fontId="27" fillId="0" borderId="52" xfId="0" applyFont="1" applyBorder="1">
      <alignment vertical="center"/>
    </xf>
    <xf numFmtId="10" fontId="0" fillId="0" borderId="53" xfId="0" applyNumberFormat="1" applyBorder="1">
      <alignment vertical="center"/>
    </xf>
    <xf numFmtId="0" fontId="0" fillId="0" borderId="52" xfId="0" applyBorder="1">
      <alignment vertical="center"/>
    </xf>
    <xf numFmtId="0" fontId="0" fillId="37" borderId="48" xfId="0" applyFill="1" applyBorder="1">
      <alignment vertical="center"/>
    </xf>
    <xf numFmtId="0" fontId="0" fillId="0" borderId="49" xfId="0" applyBorder="1">
      <alignment vertical="center"/>
    </xf>
    <xf numFmtId="0" fontId="0" fillId="37" borderId="46" xfId="0" applyFill="1" applyBorder="1">
      <alignment vertical="center"/>
    </xf>
    <xf numFmtId="10" fontId="27" fillId="0" borderId="65" xfId="0" applyNumberFormat="1" applyFont="1" applyBorder="1">
      <alignment vertical="center"/>
    </xf>
    <xf numFmtId="0" fontId="0" fillId="0" borderId="0" xfId="0" applyBorder="1" applyAlignment="1">
      <alignment vertical="center"/>
    </xf>
    <xf numFmtId="10" fontId="0" fillId="0" borderId="62" xfId="0" applyNumberFormat="1" applyBorder="1">
      <alignment vertical="center"/>
    </xf>
    <xf numFmtId="0" fontId="27" fillId="0" borderId="70" xfId="0" applyFont="1" applyBorder="1">
      <alignment vertical="center"/>
    </xf>
    <xf numFmtId="10" fontId="0" fillId="0" borderId="49" xfId="0" applyNumberFormat="1" applyBorder="1">
      <alignment vertical="center"/>
    </xf>
    <xf numFmtId="0" fontId="27" fillId="0" borderId="30" xfId="0" applyFont="1" applyBorder="1">
      <alignment vertical="center"/>
    </xf>
    <xf numFmtId="0" fontId="27" fillId="0" borderId="45" xfId="0" applyFont="1" applyBorder="1">
      <alignment vertical="center"/>
    </xf>
    <xf numFmtId="0" fontId="27" fillId="0" borderId="46" xfId="0" applyFont="1" applyBorder="1">
      <alignment vertical="center"/>
    </xf>
    <xf numFmtId="10" fontId="27" fillId="0" borderId="47" xfId="0" applyNumberFormat="1" applyFont="1" applyBorder="1">
      <alignment vertical="center"/>
    </xf>
    <xf numFmtId="0" fontId="27" fillId="0" borderId="50" xfId="0" applyFont="1" applyBorder="1">
      <alignment vertical="center"/>
    </xf>
    <xf numFmtId="0" fontId="27" fillId="0" borderId="48" xfId="0" applyFont="1" applyBorder="1">
      <alignment vertical="center"/>
    </xf>
    <xf numFmtId="10" fontId="27" fillId="0" borderId="49" xfId="0" applyNumberFormat="1" applyFont="1" applyBorder="1">
      <alignment vertical="center"/>
    </xf>
    <xf numFmtId="0" fontId="27" fillId="0" borderId="71" xfId="0" applyFont="1" applyBorder="1">
      <alignment vertical="center"/>
    </xf>
    <xf numFmtId="0" fontId="27" fillId="0" borderId="72" xfId="0" applyFont="1" applyBorder="1">
      <alignment vertical="center"/>
    </xf>
    <xf numFmtId="10" fontId="27" fillId="0" borderId="73" xfId="0" applyNumberFormat="1" applyFont="1" applyBorder="1">
      <alignment vertical="center"/>
    </xf>
    <xf numFmtId="176" fontId="27" fillId="0" borderId="51" xfId="0" applyNumberFormat="1" applyFont="1" applyBorder="1">
      <alignment vertical="center"/>
    </xf>
    <xf numFmtId="176" fontId="0" fillId="0" borderId="63" xfId="0" applyNumberFormat="1" applyBorder="1">
      <alignment vertical="center"/>
    </xf>
    <xf numFmtId="176" fontId="0" fillId="0" borderId="61" xfId="0" applyNumberFormat="1" applyBorder="1">
      <alignment vertical="center"/>
    </xf>
    <xf numFmtId="176" fontId="0" fillId="0" borderId="54" xfId="0" applyNumberFormat="1" applyBorder="1">
      <alignment vertical="center"/>
    </xf>
    <xf numFmtId="176" fontId="0" fillId="0" borderId="50" xfId="0" applyNumberFormat="1" applyBorder="1">
      <alignment vertical="center"/>
    </xf>
    <xf numFmtId="176" fontId="27" fillId="0" borderId="30" xfId="0" applyNumberFormat="1" applyFont="1" applyBorder="1">
      <alignment vertical="center"/>
    </xf>
    <xf numFmtId="176" fontId="27" fillId="0" borderId="45" xfId="0" applyNumberFormat="1" applyFont="1" applyBorder="1">
      <alignment vertical="center"/>
    </xf>
    <xf numFmtId="176" fontId="27" fillId="0" borderId="50" xfId="0" applyNumberFormat="1" applyFont="1" applyBorder="1">
      <alignment vertical="center"/>
    </xf>
    <xf numFmtId="176" fontId="27" fillId="0" borderId="71" xfId="0" applyNumberFormat="1" applyFont="1" applyBorder="1">
      <alignment vertical="center"/>
    </xf>
    <xf numFmtId="176" fontId="27" fillId="0" borderId="0" xfId="0" applyNumberFormat="1" applyFont="1" applyBorder="1">
      <alignment vertical="center"/>
    </xf>
    <xf numFmtId="176" fontId="0" fillId="0" borderId="0" xfId="0" applyNumberFormat="1" applyBorder="1">
      <alignment vertical="center"/>
    </xf>
    <xf numFmtId="176" fontId="27" fillId="0" borderId="32" xfId="0" applyNumberFormat="1" applyFont="1" applyBorder="1">
      <alignment vertical="center"/>
    </xf>
    <xf numFmtId="10" fontId="27" fillId="0" borderId="33" xfId="0" applyNumberFormat="1" applyFont="1" applyBorder="1">
      <alignment vertical="center"/>
    </xf>
    <xf numFmtId="176" fontId="0" fillId="0" borderId="74" xfId="0" applyNumberFormat="1" applyBorder="1">
      <alignment vertical="center"/>
    </xf>
    <xf numFmtId="176" fontId="0" fillId="0" borderId="75" xfId="0" applyNumberFormat="1" applyBorder="1">
      <alignment vertical="center"/>
    </xf>
    <xf numFmtId="176" fontId="0" fillId="0" borderId="76" xfId="0" applyNumberFormat="1" applyBorder="1">
      <alignment vertical="center"/>
    </xf>
    <xf numFmtId="10" fontId="0" fillId="0" borderId="77" xfId="0" applyNumberFormat="1" applyBorder="1">
      <alignment vertical="center"/>
    </xf>
    <xf numFmtId="10" fontId="27" fillId="0" borderId="32" xfId="0" applyNumberFormat="1" applyFon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11" borderId="11" xfId="20" applyFont="1" applyBorder="1" applyAlignment="1">
      <alignment horizontal="center" vertical="center"/>
    </xf>
    <xf numFmtId="0" fontId="1" fillId="11" borderId="12" xfId="20" applyBorder="1" applyAlignment="1">
      <alignment horizontal="center" vertical="center"/>
    </xf>
    <xf numFmtId="0" fontId="1" fillId="11" borderId="13" xfId="2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42" applyFont="1">
      <alignment vertical="center"/>
    </xf>
    <xf numFmtId="10" fontId="0" fillId="0" borderId="0" xfId="42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7605"/>
      <color rgb="FFFB4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두께 경향성</a:t>
            </a:r>
            <a:endParaRPr lang="en-US" alt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Table'!$D$55:$V$55</c:f>
              <c:numCache>
                <c:formatCode>General</c:formatCode>
                <c:ptCount val="19"/>
                <c:pt idx="0">
                  <c:v>3282.6626530612239</c:v>
                </c:pt>
                <c:pt idx="1">
                  <c:v>3327.2769387755102</c:v>
                </c:pt>
                <c:pt idx="2">
                  <c:v>3145.4934693877549</c:v>
                </c:pt>
                <c:pt idx="3">
                  <c:v>3357.9459183673453</c:v>
                </c:pt>
                <c:pt idx="4">
                  <c:v>3509.9308163265296</c:v>
                </c:pt>
                <c:pt idx="5">
                  <c:v>3367.9642857142858</c:v>
                </c:pt>
                <c:pt idx="6">
                  <c:v>3607.3010204081638</c:v>
                </c:pt>
                <c:pt idx="7">
                  <c:v>3705.5000000000005</c:v>
                </c:pt>
                <c:pt idx="8">
                  <c:v>3219.0679591836733</c:v>
                </c:pt>
                <c:pt idx="9">
                  <c:v>3375.5532653061227</c:v>
                </c:pt>
                <c:pt idx="10">
                  <c:v>3508.4518367346936</c:v>
                </c:pt>
                <c:pt idx="11">
                  <c:v>3361.5836734693871</c:v>
                </c:pt>
                <c:pt idx="12">
                  <c:v>3379.7451020408166</c:v>
                </c:pt>
                <c:pt idx="13">
                  <c:v>3408.1048979591837</c:v>
                </c:pt>
                <c:pt idx="14">
                  <c:v>3444.7877551020415</c:v>
                </c:pt>
                <c:pt idx="15">
                  <c:v>3390.2620408163257</c:v>
                </c:pt>
                <c:pt idx="16">
                  <c:v>3324.3316326530617</c:v>
                </c:pt>
                <c:pt idx="17">
                  <c:v>3401.8393877551025</c:v>
                </c:pt>
                <c:pt idx="18">
                  <c:v>3259.0153061224496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1-4CE3-BF16-0DF47B7F0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938368"/>
        <c:axId val="288936400"/>
      </c:lineChart>
      <c:catAx>
        <c:axId val="28893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8936400"/>
        <c:crosses val="autoZero"/>
        <c:auto val="1"/>
        <c:lblAlgn val="ctr"/>
        <c:lblOffset val="100"/>
        <c:noMultiLvlLbl val="0"/>
      </c:catAx>
      <c:valAx>
        <c:axId val="28893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893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Table'!$D$6:$D$54</c:f>
              <c:numCache>
                <c:formatCode>General</c:formatCode>
                <c:ptCount val="49"/>
                <c:pt idx="0">
                  <c:v>3339.5</c:v>
                </c:pt>
                <c:pt idx="1">
                  <c:v>3292.08</c:v>
                </c:pt>
                <c:pt idx="2">
                  <c:v>3289.93</c:v>
                </c:pt>
                <c:pt idx="3">
                  <c:v>3314.24</c:v>
                </c:pt>
                <c:pt idx="4">
                  <c:v>3354.01</c:v>
                </c:pt>
                <c:pt idx="5">
                  <c:v>3381.64</c:v>
                </c:pt>
                <c:pt idx="6">
                  <c:v>3376.34</c:v>
                </c:pt>
                <c:pt idx="7">
                  <c:v>3357.05</c:v>
                </c:pt>
                <c:pt idx="8">
                  <c:v>3320.23</c:v>
                </c:pt>
                <c:pt idx="9">
                  <c:v>3234.06</c:v>
                </c:pt>
                <c:pt idx="10">
                  <c:v>3214.59</c:v>
                </c:pt>
                <c:pt idx="11">
                  <c:v>3218.69</c:v>
                </c:pt>
                <c:pt idx="12">
                  <c:v>3245.09</c:v>
                </c:pt>
                <c:pt idx="13">
                  <c:v>3292.32</c:v>
                </c:pt>
                <c:pt idx="14">
                  <c:v>3340.47</c:v>
                </c:pt>
                <c:pt idx="15">
                  <c:v>3377.7</c:v>
                </c:pt>
                <c:pt idx="16">
                  <c:v>3403.33</c:v>
                </c:pt>
                <c:pt idx="17">
                  <c:v>3423.84</c:v>
                </c:pt>
                <c:pt idx="18">
                  <c:v>3424.32</c:v>
                </c:pt>
                <c:pt idx="19">
                  <c:v>3414.6</c:v>
                </c:pt>
                <c:pt idx="20">
                  <c:v>3397.83</c:v>
                </c:pt>
                <c:pt idx="21">
                  <c:v>3368.27</c:v>
                </c:pt>
                <c:pt idx="22">
                  <c:v>3339.15</c:v>
                </c:pt>
                <c:pt idx="23">
                  <c:v>3306.97</c:v>
                </c:pt>
                <c:pt idx="24">
                  <c:v>3274.68</c:v>
                </c:pt>
                <c:pt idx="25">
                  <c:v>3093.94</c:v>
                </c:pt>
                <c:pt idx="26">
                  <c:v>3068.16</c:v>
                </c:pt>
                <c:pt idx="27">
                  <c:v>3058.11</c:v>
                </c:pt>
                <c:pt idx="28">
                  <c:v>3067.06</c:v>
                </c:pt>
                <c:pt idx="29">
                  <c:v>3097.68</c:v>
                </c:pt>
                <c:pt idx="30">
                  <c:v>3139.97</c:v>
                </c:pt>
                <c:pt idx="31">
                  <c:v>3186.12</c:v>
                </c:pt>
                <c:pt idx="32">
                  <c:v>3232.34</c:v>
                </c:pt>
                <c:pt idx="33">
                  <c:v>3273.84</c:v>
                </c:pt>
                <c:pt idx="34">
                  <c:v>3303.95</c:v>
                </c:pt>
                <c:pt idx="35">
                  <c:v>3330.18</c:v>
                </c:pt>
                <c:pt idx="36">
                  <c:v>3348.77</c:v>
                </c:pt>
                <c:pt idx="37">
                  <c:v>3362.44</c:v>
                </c:pt>
                <c:pt idx="38">
                  <c:v>3371.84</c:v>
                </c:pt>
                <c:pt idx="39">
                  <c:v>3356.73</c:v>
                </c:pt>
                <c:pt idx="40">
                  <c:v>3346.88</c:v>
                </c:pt>
                <c:pt idx="41">
                  <c:v>3337.32</c:v>
                </c:pt>
                <c:pt idx="42">
                  <c:v>3311.17</c:v>
                </c:pt>
                <c:pt idx="43">
                  <c:v>3284.09</c:v>
                </c:pt>
                <c:pt idx="44">
                  <c:v>3252.91</c:v>
                </c:pt>
                <c:pt idx="45">
                  <c:v>3224.03</c:v>
                </c:pt>
                <c:pt idx="46">
                  <c:v>3198.82</c:v>
                </c:pt>
                <c:pt idx="47">
                  <c:v>3170.11</c:v>
                </c:pt>
                <c:pt idx="48">
                  <c:v>3133.08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F-4B2F-A276-16C127BF1C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Table'!$E$6:$E$54</c:f>
              <c:numCache>
                <c:formatCode>General</c:formatCode>
                <c:ptCount val="49"/>
                <c:pt idx="0">
                  <c:v>3400.28</c:v>
                </c:pt>
                <c:pt idx="1">
                  <c:v>3348.53</c:v>
                </c:pt>
                <c:pt idx="2">
                  <c:v>3357.43</c:v>
                </c:pt>
                <c:pt idx="3">
                  <c:v>3381.13</c:v>
                </c:pt>
                <c:pt idx="4">
                  <c:v>3418.21</c:v>
                </c:pt>
                <c:pt idx="5">
                  <c:v>3444.96</c:v>
                </c:pt>
                <c:pt idx="6">
                  <c:v>3437.96</c:v>
                </c:pt>
                <c:pt idx="7">
                  <c:v>3416.46</c:v>
                </c:pt>
                <c:pt idx="8">
                  <c:v>3377.16</c:v>
                </c:pt>
                <c:pt idx="9">
                  <c:v>3286.88</c:v>
                </c:pt>
                <c:pt idx="10">
                  <c:v>3270.77</c:v>
                </c:pt>
                <c:pt idx="11">
                  <c:v>3277.64</c:v>
                </c:pt>
                <c:pt idx="12">
                  <c:v>3308.27</c:v>
                </c:pt>
                <c:pt idx="13">
                  <c:v>3359.75</c:v>
                </c:pt>
                <c:pt idx="14">
                  <c:v>3404.63</c:v>
                </c:pt>
                <c:pt idx="15">
                  <c:v>3442.8</c:v>
                </c:pt>
                <c:pt idx="16">
                  <c:v>3466.25</c:v>
                </c:pt>
                <c:pt idx="17">
                  <c:v>3485.76</c:v>
                </c:pt>
                <c:pt idx="18">
                  <c:v>3484.87</c:v>
                </c:pt>
                <c:pt idx="19">
                  <c:v>3474.76</c:v>
                </c:pt>
                <c:pt idx="20">
                  <c:v>3457.06</c:v>
                </c:pt>
                <c:pt idx="21">
                  <c:v>3425.74</c:v>
                </c:pt>
                <c:pt idx="22">
                  <c:v>3396.55</c:v>
                </c:pt>
                <c:pt idx="23">
                  <c:v>3359.05</c:v>
                </c:pt>
                <c:pt idx="24">
                  <c:v>3325.59</c:v>
                </c:pt>
                <c:pt idx="25">
                  <c:v>3117.51</c:v>
                </c:pt>
                <c:pt idx="26">
                  <c:v>3091.89</c:v>
                </c:pt>
                <c:pt idx="27">
                  <c:v>3085.25</c:v>
                </c:pt>
                <c:pt idx="28">
                  <c:v>3098.72</c:v>
                </c:pt>
                <c:pt idx="29">
                  <c:v>3132.68</c:v>
                </c:pt>
                <c:pt idx="30">
                  <c:v>3175.81</c:v>
                </c:pt>
                <c:pt idx="31">
                  <c:v>3222.95</c:v>
                </c:pt>
                <c:pt idx="32">
                  <c:v>3265.95</c:v>
                </c:pt>
                <c:pt idx="33">
                  <c:v>3304.66</c:v>
                </c:pt>
                <c:pt idx="34">
                  <c:v>3334.33</c:v>
                </c:pt>
                <c:pt idx="35">
                  <c:v>3361.15</c:v>
                </c:pt>
                <c:pt idx="36">
                  <c:v>3381.53</c:v>
                </c:pt>
                <c:pt idx="37">
                  <c:v>3393.41</c:v>
                </c:pt>
                <c:pt idx="38">
                  <c:v>3405.6</c:v>
                </c:pt>
                <c:pt idx="39">
                  <c:v>3389.98</c:v>
                </c:pt>
                <c:pt idx="40">
                  <c:v>3379.93</c:v>
                </c:pt>
                <c:pt idx="41">
                  <c:v>3368.51</c:v>
                </c:pt>
                <c:pt idx="42">
                  <c:v>3343.47</c:v>
                </c:pt>
                <c:pt idx="43">
                  <c:v>3310.66</c:v>
                </c:pt>
                <c:pt idx="44">
                  <c:v>3278.16</c:v>
                </c:pt>
                <c:pt idx="45">
                  <c:v>3243.73</c:v>
                </c:pt>
                <c:pt idx="46">
                  <c:v>3213.78</c:v>
                </c:pt>
                <c:pt idx="47">
                  <c:v>3181.63</c:v>
                </c:pt>
                <c:pt idx="48">
                  <c:v>3146.79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F-4B2F-A276-16C127BF1CE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Table'!$F$6:$F$54</c:f>
              <c:numCache>
                <c:formatCode>General</c:formatCode>
                <c:ptCount val="49"/>
                <c:pt idx="0">
                  <c:v>3223.42</c:v>
                </c:pt>
                <c:pt idx="1">
                  <c:v>3197.25</c:v>
                </c:pt>
                <c:pt idx="2">
                  <c:v>3176.61</c:v>
                </c:pt>
                <c:pt idx="3">
                  <c:v>3166.2</c:v>
                </c:pt>
                <c:pt idx="4">
                  <c:v>3197.45</c:v>
                </c:pt>
                <c:pt idx="5">
                  <c:v>3250.92</c:v>
                </c:pt>
                <c:pt idx="6">
                  <c:v>3269.56</c:v>
                </c:pt>
                <c:pt idx="7">
                  <c:v>3261.89</c:v>
                </c:pt>
                <c:pt idx="8">
                  <c:v>3228.73</c:v>
                </c:pt>
                <c:pt idx="9">
                  <c:v>3157.73</c:v>
                </c:pt>
                <c:pt idx="10">
                  <c:v>3130.33</c:v>
                </c:pt>
                <c:pt idx="11">
                  <c:v>3106.53</c:v>
                </c:pt>
                <c:pt idx="12">
                  <c:v>3085.64</c:v>
                </c:pt>
                <c:pt idx="13">
                  <c:v>3090.94</c:v>
                </c:pt>
                <c:pt idx="14">
                  <c:v>3121.71</c:v>
                </c:pt>
                <c:pt idx="15">
                  <c:v>3174.19</c:v>
                </c:pt>
                <c:pt idx="16">
                  <c:v>3235.95</c:v>
                </c:pt>
                <c:pt idx="17">
                  <c:v>3287.2</c:v>
                </c:pt>
                <c:pt idx="18">
                  <c:v>3309.92</c:v>
                </c:pt>
                <c:pt idx="19">
                  <c:v>3315.07</c:v>
                </c:pt>
                <c:pt idx="20">
                  <c:v>3306.97</c:v>
                </c:pt>
                <c:pt idx="21">
                  <c:v>3281.37</c:v>
                </c:pt>
                <c:pt idx="22">
                  <c:v>3254.03</c:v>
                </c:pt>
                <c:pt idx="23">
                  <c:v>3223.45</c:v>
                </c:pt>
                <c:pt idx="24">
                  <c:v>3194.84</c:v>
                </c:pt>
                <c:pt idx="25">
                  <c:v>3010.68</c:v>
                </c:pt>
                <c:pt idx="26">
                  <c:v>2986.05</c:v>
                </c:pt>
                <c:pt idx="27">
                  <c:v>2965.49</c:v>
                </c:pt>
                <c:pt idx="28">
                  <c:v>2947.61</c:v>
                </c:pt>
                <c:pt idx="29">
                  <c:v>2934.99</c:v>
                </c:pt>
                <c:pt idx="30">
                  <c:v>2921.53</c:v>
                </c:pt>
                <c:pt idx="31">
                  <c:v>2927.9</c:v>
                </c:pt>
                <c:pt idx="32">
                  <c:v>2954.78</c:v>
                </c:pt>
                <c:pt idx="33">
                  <c:v>3004.87</c:v>
                </c:pt>
                <c:pt idx="34">
                  <c:v>3053.23</c:v>
                </c:pt>
                <c:pt idx="35">
                  <c:v>3112.57</c:v>
                </c:pt>
                <c:pt idx="36">
                  <c:v>3166.15</c:v>
                </c:pt>
                <c:pt idx="37">
                  <c:v>3201.54</c:v>
                </c:pt>
                <c:pt idx="38">
                  <c:v>3230.07</c:v>
                </c:pt>
                <c:pt idx="39">
                  <c:v>3226.67</c:v>
                </c:pt>
                <c:pt idx="40">
                  <c:v>3223.46</c:v>
                </c:pt>
                <c:pt idx="41">
                  <c:v>3216.54</c:v>
                </c:pt>
                <c:pt idx="42">
                  <c:v>3192.42</c:v>
                </c:pt>
                <c:pt idx="43">
                  <c:v>3168.78</c:v>
                </c:pt>
                <c:pt idx="44">
                  <c:v>3137.77</c:v>
                </c:pt>
                <c:pt idx="45">
                  <c:v>3115.35</c:v>
                </c:pt>
                <c:pt idx="46">
                  <c:v>3088.62</c:v>
                </c:pt>
                <c:pt idx="47">
                  <c:v>3059.98</c:v>
                </c:pt>
                <c:pt idx="48">
                  <c:v>3034.23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5F-4B2F-A276-16C127BF1CE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Table'!$G$6:$G$54</c:f>
              <c:numCache>
                <c:formatCode>General</c:formatCode>
                <c:ptCount val="49"/>
                <c:pt idx="0">
                  <c:v>3427.89</c:v>
                </c:pt>
                <c:pt idx="1">
                  <c:v>3380.95</c:v>
                </c:pt>
                <c:pt idx="2">
                  <c:v>3392.26</c:v>
                </c:pt>
                <c:pt idx="3">
                  <c:v>3414.62</c:v>
                </c:pt>
                <c:pt idx="4">
                  <c:v>3446.44</c:v>
                </c:pt>
                <c:pt idx="5">
                  <c:v>3468.6</c:v>
                </c:pt>
                <c:pt idx="6">
                  <c:v>3462</c:v>
                </c:pt>
                <c:pt idx="7">
                  <c:v>3440.84</c:v>
                </c:pt>
                <c:pt idx="8">
                  <c:v>3405.25</c:v>
                </c:pt>
                <c:pt idx="9">
                  <c:v>3317.96</c:v>
                </c:pt>
                <c:pt idx="10">
                  <c:v>3308.03</c:v>
                </c:pt>
                <c:pt idx="11">
                  <c:v>3320.57</c:v>
                </c:pt>
                <c:pt idx="12">
                  <c:v>3352.09</c:v>
                </c:pt>
                <c:pt idx="13">
                  <c:v>3395.98</c:v>
                </c:pt>
                <c:pt idx="14">
                  <c:v>3438.13</c:v>
                </c:pt>
                <c:pt idx="15">
                  <c:v>3470.11</c:v>
                </c:pt>
                <c:pt idx="16">
                  <c:v>3490.89</c:v>
                </c:pt>
                <c:pt idx="17">
                  <c:v>3510.26</c:v>
                </c:pt>
                <c:pt idx="18">
                  <c:v>3507.28</c:v>
                </c:pt>
                <c:pt idx="19">
                  <c:v>3496.52</c:v>
                </c:pt>
                <c:pt idx="20">
                  <c:v>3477.91</c:v>
                </c:pt>
                <c:pt idx="21">
                  <c:v>3447.55</c:v>
                </c:pt>
                <c:pt idx="22">
                  <c:v>3420.79</c:v>
                </c:pt>
                <c:pt idx="23">
                  <c:v>3386.95</c:v>
                </c:pt>
                <c:pt idx="24">
                  <c:v>3357.43</c:v>
                </c:pt>
                <c:pt idx="25">
                  <c:v>3153.56</c:v>
                </c:pt>
                <c:pt idx="26">
                  <c:v>3133.81</c:v>
                </c:pt>
                <c:pt idx="27">
                  <c:v>3131.65</c:v>
                </c:pt>
                <c:pt idx="28">
                  <c:v>3149.41</c:v>
                </c:pt>
                <c:pt idx="29">
                  <c:v>3182.31</c:v>
                </c:pt>
                <c:pt idx="30">
                  <c:v>3224.34</c:v>
                </c:pt>
                <c:pt idx="31">
                  <c:v>3268.39</c:v>
                </c:pt>
                <c:pt idx="32">
                  <c:v>3304.65</c:v>
                </c:pt>
                <c:pt idx="33">
                  <c:v>3338.32</c:v>
                </c:pt>
                <c:pt idx="34">
                  <c:v>3364.79</c:v>
                </c:pt>
                <c:pt idx="35">
                  <c:v>3401.69</c:v>
                </c:pt>
                <c:pt idx="36">
                  <c:v>3407.31</c:v>
                </c:pt>
                <c:pt idx="37">
                  <c:v>3419.36</c:v>
                </c:pt>
                <c:pt idx="38">
                  <c:v>3429.51</c:v>
                </c:pt>
                <c:pt idx="39">
                  <c:v>3410.85</c:v>
                </c:pt>
                <c:pt idx="40">
                  <c:v>3398.46</c:v>
                </c:pt>
                <c:pt idx="41">
                  <c:v>3388.21</c:v>
                </c:pt>
                <c:pt idx="42">
                  <c:v>3362.02</c:v>
                </c:pt>
                <c:pt idx="43">
                  <c:v>3334.22</c:v>
                </c:pt>
                <c:pt idx="44">
                  <c:v>3300.33</c:v>
                </c:pt>
                <c:pt idx="45">
                  <c:v>3268.67</c:v>
                </c:pt>
                <c:pt idx="46">
                  <c:v>3239.36</c:v>
                </c:pt>
                <c:pt idx="47">
                  <c:v>3210.65</c:v>
                </c:pt>
                <c:pt idx="48">
                  <c:v>3180.18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5F-4B2F-A276-16C127BF1CE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Table'!$H$6:$H$54</c:f>
              <c:numCache>
                <c:formatCode>General</c:formatCode>
                <c:ptCount val="49"/>
                <c:pt idx="0">
                  <c:v>3577.08</c:v>
                </c:pt>
                <c:pt idx="1">
                  <c:v>3533.79</c:v>
                </c:pt>
                <c:pt idx="2">
                  <c:v>3542.13</c:v>
                </c:pt>
                <c:pt idx="3">
                  <c:v>3563.74</c:v>
                </c:pt>
                <c:pt idx="4">
                  <c:v>3595.24</c:v>
                </c:pt>
                <c:pt idx="5">
                  <c:v>3617.18</c:v>
                </c:pt>
                <c:pt idx="6">
                  <c:v>3610.46</c:v>
                </c:pt>
                <c:pt idx="7">
                  <c:v>3590.7</c:v>
                </c:pt>
                <c:pt idx="8">
                  <c:v>3556.2</c:v>
                </c:pt>
                <c:pt idx="9">
                  <c:v>3472.73</c:v>
                </c:pt>
                <c:pt idx="10">
                  <c:v>3460.58</c:v>
                </c:pt>
                <c:pt idx="11">
                  <c:v>3471.61</c:v>
                </c:pt>
                <c:pt idx="12">
                  <c:v>3503.58</c:v>
                </c:pt>
                <c:pt idx="13">
                  <c:v>3546.02</c:v>
                </c:pt>
                <c:pt idx="14">
                  <c:v>3589.28</c:v>
                </c:pt>
                <c:pt idx="15">
                  <c:v>3619.14</c:v>
                </c:pt>
                <c:pt idx="16">
                  <c:v>3638.9</c:v>
                </c:pt>
                <c:pt idx="17">
                  <c:v>3657.66</c:v>
                </c:pt>
                <c:pt idx="18">
                  <c:v>3654.69</c:v>
                </c:pt>
                <c:pt idx="19">
                  <c:v>3645.01</c:v>
                </c:pt>
                <c:pt idx="20">
                  <c:v>3627.76</c:v>
                </c:pt>
                <c:pt idx="21">
                  <c:v>3598.96</c:v>
                </c:pt>
                <c:pt idx="22">
                  <c:v>3572.18</c:v>
                </c:pt>
                <c:pt idx="23">
                  <c:v>3539</c:v>
                </c:pt>
                <c:pt idx="24">
                  <c:v>3509.46</c:v>
                </c:pt>
                <c:pt idx="25">
                  <c:v>3305.97</c:v>
                </c:pt>
                <c:pt idx="26">
                  <c:v>3283.68</c:v>
                </c:pt>
                <c:pt idx="27">
                  <c:v>3281.8</c:v>
                </c:pt>
                <c:pt idx="28">
                  <c:v>3300.91</c:v>
                </c:pt>
                <c:pt idx="29">
                  <c:v>3336.67</c:v>
                </c:pt>
                <c:pt idx="30">
                  <c:v>3378.64</c:v>
                </c:pt>
                <c:pt idx="31">
                  <c:v>3423.03</c:v>
                </c:pt>
                <c:pt idx="32">
                  <c:v>3458.14</c:v>
                </c:pt>
                <c:pt idx="33">
                  <c:v>3490.5</c:v>
                </c:pt>
                <c:pt idx="34">
                  <c:v>3517.95</c:v>
                </c:pt>
                <c:pt idx="35">
                  <c:v>3539.59</c:v>
                </c:pt>
                <c:pt idx="36">
                  <c:v>3557.99</c:v>
                </c:pt>
                <c:pt idx="37">
                  <c:v>3569.44</c:v>
                </c:pt>
                <c:pt idx="38">
                  <c:v>3581.11</c:v>
                </c:pt>
                <c:pt idx="39">
                  <c:v>3563.62</c:v>
                </c:pt>
                <c:pt idx="40">
                  <c:v>3553.62</c:v>
                </c:pt>
                <c:pt idx="41">
                  <c:v>3544.03</c:v>
                </c:pt>
                <c:pt idx="42">
                  <c:v>3520.37</c:v>
                </c:pt>
                <c:pt idx="43">
                  <c:v>3491.78</c:v>
                </c:pt>
                <c:pt idx="44">
                  <c:v>3461.25</c:v>
                </c:pt>
                <c:pt idx="45">
                  <c:v>3428.51</c:v>
                </c:pt>
                <c:pt idx="46">
                  <c:v>3399.8</c:v>
                </c:pt>
                <c:pt idx="47">
                  <c:v>3372.09</c:v>
                </c:pt>
                <c:pt idx="48">
                  <c:v>3333.04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5F-4B2F-A276-16C127BF1CE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Table'!$I$6:$I$54</c:f>
              <c:numCache>
                <c:formatCode>General</c:formatCode>
                <c:ptCount val="49"/>
                <c:pt idx="0">
                  <c:v>3438.52</c:v>
                </c:pt>
                <c:pt idx="1">
                  <c:v>3388.82</c:v>
                </c:pt>
                <c:pt idx="2">
                  <c:v>3397.87</c:v>
                </c:pt>
                <c:pt idx="3">
                  <c:v>3423.83</c:v>
                </c:pt>
                <c:pt idx="4">
                  <c:v>3457.15</c:v>
                </c:pt>
                <c:pt idx="5">
                  <c:v>3483.5</c:v>
                </c:pt>
                <c:pt idx="6">
                  <c:v>3475.37</c:v>
                </c:pt>
                <c:pt idx="7">
                  <c:v>3454.65</c:v>
                </c:pt>
                <c:pt idx="8">
                  <c:v>3416.55</c:v>
                </c:pt>
                <c:pt idx="9">
                  <c:v>3327.93</c:v>
                </c:pt>
                <c:pt idx="10">
                  <c:v>3310.89</c:v>
                </c:pt>
                <c:pt idx="11">
                  <c:v>3319.84</c:v>
                </c:pt>
                <c:pt idx="12">
                  <c:v>3353.14</c:v>
                </c:pt>
                <c:pt idx="13">
                  <c:v>3401.66</c:v>
                </c:pt>
                <c:pt idx="14">
                  <c:v>3447.29</c:v>
                </c:pt>
                <c:pt idx="15">
                  <c:v>3483.37</c:v>
                </c:pt>
                <c:pt idx="16">
                  <c:v>3505</c:v>
                </c:pt>
                <c:pt idx="17">
                  <c:v>3522.8</c:v>
                </c:pt>
                <c:pt idx="18">
                  <c:v>3521.71</c:v>
                </c:pt>
                <c:pt idx="19">
                  <c:v>3510.26</c:v>
                </c:pt>
                <c:pt idx="20">
                  <c:v>3491.54</c:v>
                </c:pt>
                <c:pt idx="21">
                  <c:v>3459.79</c:v>
                </c:pt>
                <c:pt idx="22">
                  <c:v>3427.1</c:v>
                </c:pt>
                <c:pt idx="23">
                  <c:v>3395.75</c:v>
                </c:pt>
                <c:pt idx="24">
                  <c:v>3363.69</c:v>
                </c:pt>
                <c:pt idx="25">
                  <c:v>3159.53</c:v>
                </c:pt>
                <c:pt idx="26">
                  <c:v>3137.87</c:v>
                </c:pt>
                <c:pt idx="27">
                  <c:v>3133.47</c:v>
                </c:pt>
                <c:pt idx="28">
                  <c:v>3148.4</c:v>
                </c:pt>
                <c:pt idx="29">
                  <c:v>3179.49</c:v>
                </c:pt>
                <c:pt idx="30">
                  <c:v>3222.88</c:v>
                </c:pt>
                <c:pt idx="31">
                  <c:v>3268.7</c:v>
                </c:pt>
                <c:pt idx="32">
                  <c:v>3320.98</c:v>
                </c:pt>
                <c:pt idx="33">
                  <c:v>3348.84</c:v>
                </c:pt>
                <c:pt idx="34">
                  <c:v>3379.02</c:v>
                </c:pt>
                <c:pt idx="35">
                  <c:v>3405.5</c:v>
                </c:pt>
                <c:pt idx="36">
                  <c:v>3424.6</c:v>
                </c:pt>
                <c:pt idx="37">
                  <c:v>3437.04</c:v>
                </c:pt>
                <c:pt idx="38">
                  <c:v>3447.86</c:v>
                </c:pt>
                <c:pt idx="39">
                  <c:v>3428</c:v>
                </c:pt>
                <c:pt idx="40">
                  <c:v>3416.29</c:v>
                </c:pt>
                <c:pt idx="41">
                  <c:v>3404.78</c:v>
                </c:pt>
                <c:pt idx="42">
                  <c:v>3378</c:v>
                </c:pt>
                <c:pt idx="43">
                  <c:v>3346.81</c:v>
                </c:pt>
                <c:pt idx="44">
                  <c:v>3316.65</c:v>
                </c:pt>
                <c:pt idx="45">
                  <c:v>3280.12</c:v>
                </c:pt>
                <c:pt idx="46">
                  <c:v>3252.6</c:v>
                </c:pt>
                <c:pt idx="47">
                  <c:v>3225.16</c:v>
                </c:pt>
                <c:pt idx="48">
                  <c:v>3189.64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5F-4B2F-A276-16C127BF1CE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Table'!$J$6:$J$54</c:f>
              <c:numCache>
                <c:formatCode>General</c:formatCode>
                <c:ptCount val="49"/>
                <c:pt idx="0">
                  <c:v>3673.92</c:v>
                </c:pt>
                <c:pt idx="1">
                  <c:v>3633.79</c:v>
                </c:pt>
                <c:pt idx="2">
                  <c:v>3638.76</c:v>
                </c:pt>
                <c:pt idx="3">
                  <c:v>3661.25</c:v>
                </c:pt>
                <c:pt idx="4">
                  <c:v>3689.66</c:v>
                </c:pt>
                <c:pt idx="5">
                  <c:v>3709.87</c:v>
                </c:pt>
                <c:pt idx="6">
                  <c:v>3706.05</c:v>
                </c:pt>
                <c:pt idx="7">
                  <c:v>3690.8</c:v>
                </c:pt>
                <c:pt idx="8">
                  <c:v>3659.61</c:v>
                </c:pt>
                <c:pt idx="9">
                  <c:v>3575.11</c:v>
                </c:pt>
                <c:pt idx="10">
                  <c:v>3557.91</c:v>
                </c:pt>
                <c:pt idx="11">
                  <c:v>3569.59</c:v>
                </c:pt>
                <c:pt idx="12">
                  <c:v>3605.55</c:v>
                </c:pt>
                <c:pt idx="13">
                  <c:v>3649.28</c:v>
                </c:pt>
                <c:pt idx="14">
                  <c:v>3688.94</c:v>
                </c:pt>
                <c:pt idx="15">
                  <c:v>3716.32</c:v>
                </c:pt>
                <c:pt idx="16">
                  <c:v>3730.07</c:v>
                </c:pt>
                <c:pt idx="17">
                  <c:v>3744.48</c:v>
                </c:pt>
                <c:pt idx="18">
                  <c:v>3744.31</c:v>
                </c:pt>
                <c:pt idx="19">
                  <c:v>3738.23</c:v>
                </c:pt>
                <c:pt idx="20">
                  <c:v>3727.89</c:v>
                </c:pt>
                <c:pt idx="21">
                  <c:v>3704.36</c:v>
                </c:pt>
                <c:pt idx="22">
                  <c:v>3680.93</c:v>
                </c:pt>
                <c:pt idx="23">
                  <c:v>3649.33</c:v>
                </c:pt>
                <c:pt idx="24">
                  <c:v>3615.85</c:v>
                </c:pt>
                <c:pt idx="25">
                  <c:v>3400.46</c:v>
                </c:pt>
                <c:pt idx="26">
                  <c:v>3371.91</c:v>
                </c:pt>
                <c:pt idx="27">
                  <c:v>3369.23</c:v>
                </c:pt>
                <c:pt idx="28">
                  <c:v>3389.8</c:v>
                </c:pt>
                <c:pt idx="29">
                  <c:v>3431.19</c:v>
                </c:pt>
                <c:pt idx="30">
                  <c:v>3474.58</c:v>
                </c:pt>
                <c:pt idx="31">
                  <c:v>3521.77</c:v>
                </c:pt>
                <c:pt idx="32">
                  <c:v>3560.25</c:v>
                </c:pt>
                <c:pt idx="33">
                  <c:v>3588.82</c:v>
                </c:pt>
                <c:pt idx="34">
                  <c:v>3610.5</c:v>
                </c:pt>
                <c:pt idx="35">
                  <c:v>3629.38</c:v>
                </c:pt>
                <c:pt idx="36">
                  <c:v>3644.41</c:v>
                </c:pt>
                <c:pt idx="37">
                  <c:v>3652.91</c:v>
                </c:pt>
                <c:pt idx="38">
                  <c:v>3663.5</c:v>
                </c:pt>
                <c:pt idx="39">
                  <c:v>3653.05</c:v>
                </c:pt>
                <c:pt idx="40">
                  <c:v>3647.65</c:v>
                </c:pt>
                <c:pt idx="41">
                  <c:v>3639.71</c:v>
                </c:pt>
                <c:pt idx="42">
                  <c:v>3620.14</c:v>
                </c:pt>
                <c:pt idx="43">
                  <c:v>3598.14</c:v>
                </c:pt>
                <c:pt idx="44">
                  <c:v>3568.81</c:v>
                </c:pt>
                <c:pt idx="45">
                  <c:v>3538.99</c:v>
                </c:pt>
                <c:pt idx="46">
                  <c:v>3510.92</c:v>
                </c:pt>
                <c:pt idx="47">
                  <c:v>3473.26</c:v>
                </c:pt>
                <c:pt idx="48">
                  <c:v>3436.51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5F-4B2F-A276-16C127BF1CE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Table'!$K$6:$K$54</c:f>
              <c:numCache>
                <c:formatCode>General</c:formatCode>
                <c:ptCount val="49"/>
                <c:pt idx="0">
                  <c:v>3774.64</c:v>
                </c:pt>
                <c:pt idx="1">
                  <c:v>3781.4</c:v>
                </c:pt>
                <c:pt idx="2">
                  <c:v>3739.57</c:v>
                </c:pt>
                <c:pt idx="3">
                  <c:v>3702.27</c:v>
                </c:pt>
                <c:pt idx="4">
                  <c:v>3727.68</c:v>
                </c:pt>
                <c:pt idx="5">
                  <c:v>3785.99</c:v>
                </c:pt>
                <c:pt idx="6">
                  <c:v>3817.22</c:v>
                </c:pt>
                <c:pt idx="7">
                  <c:v>3826.69</c:v>
                </c:pt>
                <c:pt idx="8">
                  <c:v>3811.05</c:v>
                </c:pt>
                <c:pt idx="9">
                  <c:v>3780.04</c:v>
                </c:pt>
                <c:pt idx="10">
                  <c:v>3733.49</c:v>
                </c:pt>
                <c:pt idx="11">
                  <c:v>3678.44</c:v>
                </c:pt>
                <c:pt idx="12">
                  <c:v>3624.84</c:v>
                </c:pt>
                <c:pt idx="13">
                  <c:v>3609.85</c:v>
                </c:pt>
                <c:pt idx="14">
                  <c:v>3631.11</c:v>
                </c:pt>
                <c:pt idx="15">
                  <c:v>3686.49</c:v>
                </c:pt>
                <c:pt idx="16">
                  <c:v>3752.66</c:v>
                </c:pt>
                <c:pt idx="17">
                  <c:v>3810.92</c:v>
                </c:pt>
                <c:pt idx="18">
                  <c:v>3842.05</c:v>
                </c:pt>
                <c:pt idx="19">
                  <c:v>3860.29</c:v>
                </c:pt>
                <c:pt idx="20">
                  <c:v>3867.73</c:v>
                </c:pt>
                <c:pt idx="21">
                  <c:v>3861.57</c:v>
                </c:pt>
                <c:pt idx="22">
                  <c:v>3854.8</c:v>
                </c:pt>
                <c:pt idx="23">
                  <c:v>3839.99</c:v>
                </c:pt>
                <c:pt idx="24">
                  <c:v>3819.54</c:v>
                </c:pt>
                <c:pt idx="25">
                  <c:v>3652.1</c:v>
                </c:pt>
                <c:pt idx="26">
                  <c:v>3613.6</c:v>
                </c:pt>
                <c:pt idx="27">
                  <c:v>3568.62</c:v>
                </c:pt>
                <c:pt idx="28">
                  <c:v>3517.27</c:v>
                </c:pt>
                <c:pt idx="29">
                  <c:v>3466.09</c:v>
                </c:pt>
                <c:pt idx="30">
                  <c:v>3435.27</c:v>
                </c:pt>
                <c:pt idx="31">
                  <c:v>3426.14</c:v>
                </c:pt>
                <c:pt idx="32">
                  <c:v>3445.57</c:v>
                </c:pt>
                <c:pt idx="33">
                  <c:v>3496.77</c:v>
                </c:pt>
                <c:pt idx="34">
                  <c:v>3552.84</c:v>
                </c:pt>
                <c:pt idx="35">
                  <c:v>3620.73</c:v>
                </c:pt>
                <c:pt idx="36">
                  <c:v>3675.83</c:v>
                </c:pt>
                <c:pt idx="37">
                  <c:v>3714.28</c:v>
                </c:pt>
                <c:pt idx="38">
                  <c:v>3749.3</c:v>
                </c:pt>
                <c:pt idx="39">
                  <c:v>3754.64</c:v>
                </c:pt>
                <c:pt idx="40">
                  <c:v>3765.46</c:v>
                </c:pt>
                <c:pt idx="41">
                  <c:v>3773.31</c:v>
                </c:pt>
                <c:pt idx="42">
                  <c:v>3771.32</c:v>
                </c:pt>
                <c:pt idx="43">
                  <c:v>3761.6</c:v>
                </c:pt>
                <c:pt idx="44">
                  <c:v>3749.64</c:v>
                </c:pt>
                <c:pt idx="45">
                  <c:v>3733.93</c:v>
                </c:pt>
                <c:pt idx="46">
                  <c:v>3721.99</c:v>
                </c:pt>
                <c:pt idx="47">
                  <c:v>3705.65</c:v>
                </c:pt>
                <c:pt idx="48">
                  <c:v>3677.23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5F-4B2F-A276-16C127BF1CE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Table'!$L$6:$L$54</c:f>
              <c:numCache>
                <c:formatCode>General</c:formatCode>
                <c:ptCount val="49"/>
                <c:pt idx="0">
                  <c:v>3275.3</c:v>
                </c:pt>
                <c:pt idx="1">
                  <c:v>3232.81</c:v>
                </c:pt>
                <c:pt idx="2">
                  <c:v>3240.03</c:v>
                </c:pt>
                <c:pt idx="3">
                  <c:v>3261.33</c:v>
                </c:pt>
                <c:pt idx="4">
                  <c:v>3292.05</c:v>
                </c:pt>
                <c:pt idx="5">
                  <c:v>3316.48</c:v>
                </c:pt>
                <c:pt idx="6">
                  <c:v>3308.94</c:v>
                </c:pt>
                <c:pt idx="7">
                  <c:v>3290.97</c:v>
                </c:pt>
                <c:pt idx="8">
                  <c:v>3258.03</c:v>
                </c:pt>
                <c:pt idx="9">
                  <c:v>3175.04</c:v>
                </c:pt>
                <c:pt idx="10">
                  <c:v>3161.73</c:v>
                </c:pt>
                <c:pt idx="11">
                  <c:v>3172.25</c:v>
                </c:pt>
                <c:pt idx="12">
                  <c:v>3201.19</c:v>
                </c:pt>
                <c:pt idx="13">
                  <c:v>3246.48</c:v>
                </c:pt>
                <c:pt idx="14">
                  <c:v>3283.3</c:v>
                </c:pt>
                <c:pt idx="15">
                  <c:v>3316.43</c:v>
                </c:pt>
                <c:pt idx="16">
                  <c:v>3336.37</c:v>
                </c:pt>
                <c:pt idx="17">
                  <c:v>3354.56</c:v>
                </c:pt>
                <c:pt idx="18">
                  <c:v>3351.3</c:v>
                </c:pt>
                <c:pt idx="19">
                  <c:v>3342.62</c:v>
                </c:pt>
                <c:pt idx="20">
                  <c:v>3326.73</c:v>
                </c:pt>
                <c:pt idx="21">
                  <c:v>3299.03</c:v>
                </c:pt>
                <c:pt idx="22">
                  <c:v>3273.4</c:v>
                </c:pt>
                <c:pt idx="23">
                  <c:v>3241.85</c:v>
                </c:pt>
                <c:pt idx="24">
                  <c:v>3210.36</c:v>
                </c:pt>
                <c:pt idx="25">
                  <c:v>3033.93</c:v>
                </c:pt>
                <c:pt idx="26">
                  <c:v>3011.98</c:v>
                </c:pt>
                <c:pt idx="27">
                  <c:v>3008.17</c:v>
                </c:pt>
                <c:pt idx="28">
                  <c:v>3024.24</c:v>
                </c:pt>
                <c:pt idx="29">
                  <c:v>3055.42</c:v>
                </c:pt>
                <c:pt idx="30">
                  <c:v>3097.2</c:v>
                </c:pt>
                <c:pt idx="31">
                  <c:v>3141.59</c:v>
                </c:pt>
                <c:pt idx="32">
                  <c:v>3177.94</c:v>
                </c:pt>
                <c:pt idx="33">
                  <c:v>3209.36</c:v>
                </c:pt>
                <c:pt idx="34">
                  <c:v>3232.41</c:v>
                </c:pt>
                <c:pt idx="35">
                  <c:v>3255.54</c:v>
                </c:pt>
                <c:pt idx="36">
                  <c:v>3272.02</c:v>
                </c:pt>
                <c:pt idx="37">
                  <c:v>3283.09</c:v>
                </c:pt>
                <c:pt idx="38">
                  <c:v>3293.75</c:v>
                </c:pt>
                <c:pt idx="39">
                  <c:v>3276.93</c:v>
                </c:pt>
                <c:pt idx="40">
                  <c:v>3266.96</c:v>
                </c:pt>
                <c:pt idx="41">
                  <c:v>3259.03</c:v>
                </c:pt>
                <c:pt idx="42">
                  <c:v>3236.33</c:v>
                </c:pt>
                <c:pt idx="43">
                  <c:v>3211.2</c:v>
                </c:pt>
                <c:pt idx="44">
                  <c:v>3181.17</c:v>
                </c:pt>
                <c:pt idx="45">
                  <c:v>3151.87</c:v>
                </c:pt>
                <c:pt idx="46">
                  <c:v>3124.84</c:v>
                </c:pt>
                <c:pt idx="47">
                  <c:v>3095.51</c:v>
                </c:pt>
                <c:pt idx="48">
                  <c:v>3065.27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5F-4B2F-A276-16C127BF1CE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Table'!$M$6:$M$54</c:f>
              <c:numCache>
                <c:formatCode>General</c:formatCode>
                <c:ptCount val="49"/>
                <c:pt idx="0">
                  <c:v>3443.34</c:v>
                </c:pt>
                <c:pt idx="1">
                  <c:v>3398.85</c:v>
                </c:pt>
                <c:pt idx="2">
                  <c:v>3409.19</c:v>
                </c:pt>
                <c:pt idx="3">
                  <c:v>3432.11</c:v>
                </c:pt>
                <c:pt idx="4">
                  <c:v>3462.17</c:v>
                </c:pt>
                <c:pt idx="5">
                  <c:v>3486.74</c:v>
                </c:pt>
                <c:pt idx="6">
                  <c:v>3477.35</c:v>
                </c:pt>
                <c:pt idx="7">
                  <c:v>3456.77</c:v>
                </c:pt>
                <c:pt idx="8">
                  <c:v>3422.65</c:v>
                </c:pt>
                <c:pt idx="9">
                  <c:v>3338.34</c:v>
                </c:pt>
                <c:pt idx="10">
                  <c:v>3326.09</c:v>
                </c:pt>
                <c:pt idx="11">
                  <c:v>3338.77</c:v>
                </c:pt>
                <c:pt idx="12">
                  <c:v>3368.7</c:v>
                </c:pt>
                <c:pt idx="13">
                  <c:v>3414.65</c:v>
                </c:pt>
                <c:pt idx="14">
                  <c:v>3455.65</c:v>
                </c:pt>
                <c:pt idx="15">
                  <c:v>3487.17</c:v>
                </c:pt>
                <c:pt idx="16">
                  <c:v>3506.55</c:v>
                </c:pt>
                <c:pt idx="17">
                  <c:v>3524.86</c:v>
                </c:pt>
                <c:pt idx="18">
                  <c:v>3521.54</c:v>
                </c:pt>
                <c:pt idx="19">
                  <c:v>3510.39</c:v>
                </c:pt>
                <c:pt idx="20">
                  <c:v>3492.17</c:v>
                </c:pt>
                <c:pt idx="21">
                  <c:v>3462.31</c:v>
                </c:pt>
                <c:pt idx="22">
                  <c:v>3436.12</c:v>
                </c:pt>
                <c:pt idx="23">
                  <c:v>3401.84</c:v>
                </c:pt>
                <c:pt idx="24">
                  <c:v>3373.47</c:v>
                </c:pt>
                <c:pt idx="25">
                  <c:v>3171.83</c:v>
                </c:pt>
                <c:pt idx="26">
                  <c:v>3150.63</c:v>
                </c:pt>
                <c:pt idx="27">
                  <c:v>3153.49</c:v>
                </c:pt>
                <c:pt idx="28">
                  <c:v>3170.89</c:v>
                </c:pt>
                <c:pt idx="29">
                  <c:v>3202.1</c:v>
                </c:pt>
                <c:pt idx="30">
                  <c:v>3242.81</c:v>
                </c:pt>
                <c:pt idx="31">
                  <c:v>3284.52</c:v>
                </c:pt>
                <c:pt idx="32">
                  <c:v>3323.03</c:v>
                </c:pt>
                <c:pt idx="33">
                  <c:v>3356.94</c:v>
                </c:pt>
                <c:pt idx="34">
                  <c:v>3382.88</c:v>
                </c:pt>
                <c:pt idx="35">
                  <c:v>3407.26</c:v>
                </c:pt>
                <c:pt idx="36">
                  <c:v>3425.71</c:v>
                </c:pt>
                <c:pt idx="37">
                  <c:v>3438.81</c:v>
                </c:pt>
                <c:pt idx="38">
                  <c:v>3449.2</c:v>
                </c:pt>
                <c:pt idx="39">
                  <c:v>3428.91</c:v>
                </c:pt>
                <c:pt idx="40">
                  <c:v>3416.12</c:v>
                </c:pt>
                <c:pt idx="41">
                  <c:v>3405.41</c:v>
                </c:pt>
                <c:pt idx="42">
                  <c:v>3379.71</c:v>
                </c:pt>
                <c:pt idx="43">
                  <c:v>3351.52</c:v>
                </c:pt>
                <c:pt idx="44">
                  <c:v>3321.44</c:v>
                </c:pt>
                <c:pt idx="45">
                  <c:v>3290.21</c:v>
                </c:pt>
                <c:pt idx="46">
                  <c:v>3264.54</c:v>
                </c:pt>
                <c:pt idx="47">
                  <c:v>3232.91</c:v>
                </c:pt>
                <c:pt idx="48">
                  <c:v>3203.45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5F-4B2F-A276-16C127BF1CE9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Table'!$N$6:$N$54</c:f>
              <c:numCache>
                <c:formatCode>General</c:formatCode>
                <c:ptCount val="49"/>
                <c:pt idx="0">
                  <c:v>3591.14</c:v>
                </c:pt>
                <c:pt idx="1">
                  <c:v>3538.14</c:v>
                </c:pt>
                <c:pt idx="2">
                  <c:v>3550.94</c:v>
                </c:pt>
                <c:pt idx="3">
                  <c:v>3576.62</c:v>
                </c:pt>
                <c:pt idx="4">
                  <c:v>3609.76</c:v>
                </c:pt>
                <c:pt idx="5">
                  <c:v>3635.69</c:v>
                </c:pt>
                <c:pt idx="6">
                  <c:v>3628.74</c:v>
                </c:pt>
                <c:pt idx="7">
                  <c:v>3604.05</c:v>
                </c:pt>
                <c:pt idx="8">
                  <c:v>3564.37</c:v>
                </c:pt>
                <c:pt idx="9">
                  <c:v>3469.38</c:v>
                </c:pt>
                <c:pt idx="10">
                  <c:v>3457.96</c:v>
                </c:pt>
                <c:pt idx="11">
                  <c:v>3465.78</c:v>
                </c:pt>
                <c:pt idx="12">
                  <c:v>3499.38</c:v>
                </c:pt>
                <c:pt idx="13">
                  <c:v>3550.07</c:v>
                </c:pt>
                <c:pt idx="14">
                  <c:v>3598.55</c:v>
                </c:pt>
                <c:pt idx="15">
                  <c:v>3636.47</c:v>
                </c:pt>
                <c:pt idx="16">
                  <c:v>3659.77</c:v>
                </c:pt>
                <c:pt idx="17">
                  <c:v>3680.26</c:v>
                </c:pt>
                <c:pt idx="18">
                  <c:v>3677.56</c:v>
                </c:pt>
                <c:pt idx="19">
                  <c:v>3663.21</c:v>
                </c:pt>
                <c:pt idx="20">
                  <c:v>3643.14</c:v>
                </c:pt>
                <c:pt idx="21">
                  <c:v>3607.32</c:v>
                </c:pt>
                <c:pt idx="22">
                  <c:v>3576.91</c:v>
                </c:pt>
                <c:pt idx="23">
                  <c:v>3539.87</c:v>
                </c:pt>
                <c:pt idx="24">
                  <c:v>3505.76</c:v>
                </c:pt>
                <c:pt idx="25">
                  <c:v>3275.61</c:v>
                </c:pt>
                <c:pt idx="26">
                  <c:v>3252.3</c:v>
                </c:pt>
                <c:pt idx="27">
                  <c:v>3249.67</c:v>
                </c:pt>
                <c:pt idx="28">
                  <c:v>3267.9</c:v>
                </c:pt>
                <c:pt idx="29">
                  <c:v>3307.52</c:v>
                </c:pt>
                <c:pt idx="30">
                  <c:v>3349.61</c:v>
                </c:pt>
                <c:pt idx="31">
                  <c:v>3398.06</c:v>
                </c:pt>
                <c:pt idx="32">
                  <c:v>3442.99</c:v>
                </c:pt>
                <c:pt idx="33">
                  <c:v>3481.9</c:v>
                </c:pt>
                <c:pt idx="34">
                  <c:v>3513.45</c:v>
                </c:pt>
                <c:pt idx="35">
                  <c:v>3542.89</c:v>
                </c:pt>
                <c:pt idx="36">
                  <c:v>3563.54</c:v>
                </c:pt>
                <c:pt idx="37">
                  <c:v>3577.6</c:v>
                </c:pt>
                <c:pt idx="38">
                  <c:v>3588.85</c:v>
                </c:pt>
                <c:pt idx="39">
                  <c:v>3573.15</c:v>
                </c:pt>
                <c:pt idx="40">
                  <c:v>3558.91</c:v>
                </c:pt>
                <c:pt idx="41">
                  <c:v>3543.55</c:v>
                </c:pt>
                <c:pt idx="42">
                  <c:v>3512.92</c:v>
                </c:pt>
                <c:pt idx="43">
                  <c:v>3480.3</c:v>
                </c:pt>
                <c:pt idx="44">
                  <c:v>3446.24</c:v>
                </c:pt>
                <c:pt idx="45">
                  <c:v>3412.89</c:v>
                </c:pt>
                <c:pt idx="46">
                  <c:v>3380.91</c:v>
                </c:pt>
                <c:pt idx="47">
                  <c:v>3351.03</c:v>
                </c:pt>
                <c:pt idx="48">
                  <c:v>3311.51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5F-4B2F-A276-16C127BF1CE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Table'!$O$6:$O$54</c:f>
              <c:numCache>
                <c:formatCode>General</c:formatCode>
                <c:ptCount val="49"/>
                <c:pt idx="0">
                  <c:v>3446.07</c:v>
                </c:pt>
                <c:pt idx="1">
                  <c:v>3412.99</c:v>
                </c:pt>
                <c:pt idx="2">
                  <c:v>3400.21</c:v>
                </c:pt>
                <c:pt idx="3">
                  <c:v>3392.88</c:v>
                </c:pt>
                <c:pt idx="4">
                  <c:v>3426</c:v>
                </c:pt>
                <c:pt idx="5">
                  <c:v>3476.83</c:v>
                </c:pt>
                <c:pt idx="6">
                  <c:v>3489.03</c:v>
                </c:pt>
                <c:pt idx="7">
                  <c:v>3478.53</c:v>
                </c:pt>
                <c:pt idx="8">
                  <c:v>3442.39</c:v>
                </c:pt>
                <c:pt idx="9">
                  <c:v>3373.25</c:v>
                </c:pt>
                <c:pt idx="10">
                  <c:v>3345.83</c:v>
                </c:pt>
                <c:pt idx="11">
                  <c:v>3323.52</c:v>
                </c:pt>
                <c:pt idx="12">
                  <c:v>3309.83</c:v>
                </c:pt>
                <c:pt idx="13">
                  <c:v>3322.03</c:v>
                </c:pt>
                <c:pt idx="14">
                  <c:v>3360.55</c:v>
                </c:pt>
                <c:pt idx="15">
                  <c:v>3415.65</c:v>
                </c:pt>
                <c:pt idx="16">
                  <c:v>3468.52</c:v>
                </c:pt>
                <c:pt idx="17">
                  <c:v>3515.4</c:v>
                </c:pt>
                <c:pt idx="18">
                  <c:v>3532.31</c:v>
                </c:pt>
                <c:pt idx="19">
                  <c:v>3534.09</c:v>
                </c:pt>
                <c:pt idx="20">
                  <c:v>3522.73</c:v>
                </c:pt>
                <c:pt idx="21">
                  <c:v>3494.81</c:v>
                </c:pt>
                <c:pt idx="22">
                  <c:v>3468.4</c:v>
                </c:pt>
                <c:pt idx="23">
                  <c:v>3436.59</c:v>
                </c:pt>
                <c:pt idx="24">
                  <c:v>3407.95</c:v>
                </c:pt>
                <c:pt idx="25">
                  <c:v>3205.75</c:v>
                </c:pt>
                <c:pt idx="26">
                  <c:v>3180.56</c:v>
                </c:pt>
                <c:pt idx="27">
                  <c:v>3159.47</c:v>
                </c:pt>
                <c:pt idx="28">
                  <c:v>3142.7</c:v>
                </c:pt>
                <c:pt idx="29">
                  <c:v>3130.43</c:v>
                </c:pt>
                <c:pt idx="30">
                  <c:v>3127.68</c:v>
                </c:pt>
                <c:pt idx="31">
                  <c:v>3141.63</c:v>
                </c:pt>
                <c:pt idx="32">
                  <c:v>3174.23</c:v>
                </c:pt>
                <c:pt idx="33">
                  <c:v>3228.05</c:v>
                </c:pt>
                <c:pt idx="34">
                  <c:v>3281.83</c:v>
                </c:pt>
                <c:pt idx="35">
                  <c:v>3340.23</c:v>
                </c:pt>
                <c:pt idx="36">
                  <c:v>3390.07</c:v>
                </c:pt>
                <c:pt idx="37">
                  <c:v>3419.99</c:v>
                </c:pt>
                <c:pt idx="38">
                  <c:v>3447.61</c:v>
                </c:pt>
                <c:pt idx="39">
                  <c:v>3441.15</c:v>
                </c:pt>
                <c:pt idx="40">
                  <c:v>3437.85</c:v>
                </c:pt>
                <c:pt idx="41">
                  <c:v>3429.86</c:v>
                </c:pt>
                <c:pt idx="42">
                  <c:v>3408.23</c:v>
                </c:pt>
                <c:pt idx="43">
                  <c:v>3379.8</c:v>
                </c:pt>
                <c:pt idx="44">
                  <c:v>3346.54</c:v>
                </c:pt>
                <c:pt idx="45">
                  <c:v>3316.78</c:v>
                </c:pt>
                <c:pt idx="46">
                  <c:v>3289.67</c:v>
                </c:pt>
                <c:pt idx="47">
                  <c:v>3265.51</c:v>
                </c:pt>
                <c:pt idx="48">
                  <c:v>3235.59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5F-4B2F-A276-16C127BF1CE9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Table'!$P$6:$P$54</c:f>
              <c:numCache>
                <c:formatCode>General</c:formatCode>
                <c:ptCount val="49"/>
                <c:pt idx="0">
                  <c:v>3448.95</c:v>
                </c:pt>
                <c:pt idx="1">
                  <c:v>3404.22</c:v>
                </c:pt>
                <c:pt idx="2">
                  <c:v>3413.89</c:v>
                </c:pt>
                <c:pt idx="3">
                  <c:v>3435.52</c:v>
                </c:pt>
                <c:pt idx="4">
                  <c:v>3467.42</c:v>
                </c:pt>
                <c:pt idx="5">
                  <c:v>3489.56</c:v>
                </c:pt>
                <c:pt idx="6">
                  <c:v>3481.78</c:v>
                </c:pt>
                <c:pt idx="7">
                  <c:v>3460.93</c:v>
                </c:pt>
                <c:pt idx="8">
                  <c:v>3425.49</c:v>
                </c:pt>
                <c:pt idx="9">
                  <c:v>3340.52</c:v>
                </c:pt>
                <c:pt idx="10">
                  <c:v>3330.83</c:v>
                </c:pt>
                <c:pt idx="11">
                  <c:v>3342.8</c:v>
                </c:pt>
                <c:pt idx="12">
                  <c:v>3373.5</c:v>
                </c:pt>
                <c:pt idx="13">
                  <c:v>3417.44</c:v>
                </c:pt>
                <c:pt idx="14">
                  <c:v>3458.7</c:v>
                </c:pt>
                <c:pt idx="15">
                  <c:v>3490.87</c:v>
                </c:pt>
                <c:pt idx="16">
                  <c:v>3511.94</c:v>
                </c:pt>
                <c:pt idx="17">
                  <c:v>3531.1</c:v>
                </c:pt>
                <c:pt idx="18">
                  <c:v>3527.14</c:v>
                </c:pt>
                <c:pt idx="19">
                  <c:v>3515.64</c:v>
                </c:pt>
                <c:pt idx="20">
                  <c:v>3497.14</c:v>
                </c:pt>
                <c:pt idx="21">
                  <c:v>3466.36</c:v>
                </c:pt>
                <c:pt idx="22">
                  <c:v>3439.32</c:v>
                </c:pt>
                <c:pt idx="23">
                  <c:v>3405.36</c:v>
                </c:pt>
                <c:pt idx="24">
                  <c:v>3374.22</c:v>
                </c:pt>
                <c:pt idx="25">
                  <c:v>3176.27</c:v>
                </c:pt>
                <c:pt idx="26">
                  <c:v>3156.23</c:v>
                </c:pt>
                <c:pt idx="27">
                  <c:v>3154.98</c:v>
                </c:pt>
                <c:pt idx="28">
                  <c:v>3173.19</c:v>
                </c:pt>
                <c:pt idx="29">
                  <c:v>3205.32</c:v>
                </c:pt>
                <c:pt idx="30">
                  <c:v>3248.67</c:v>
                </c:pt>
                <c:pt idx="31">
                  <c:v>3289.42</c:v>
                </c:pt>
                <c:pt idx="32">
                  <c:v>3327.64</c:v>
                </c:pt>
                <c:pt idx="33">
                  <c:v>3362.51</c:v>
                </c:pt>
                <c:pt idx="34">
                  <c:v>3391.04</c:v>
                </c:pt>
                <c:pt idx="35">
                  <c:v>3413.57</c:v>
                </c:pt>
                <c:pt idx="36">
                  <c:v>3432.55</c:v>
                </c:pt>
                <c:pt idx="37">
                  <c:v>3444.14</c:v>
                </c:pt>
                <c:pt idx="38">
                  <c:v>3455.27</c:v>
                </c:pt>
                <c:pt idx="39">
                  <c:v>3435.81</c:v>
                </c:pt>
                <c:pt idx="40">
                  <c:v>3425.69</c:v>
                </c:pt>
                <c:pt idx="41">
                  <c:v>3414.13</c:v>
                </c:pt>
                <c:pt idx="42">
                  <c:v>3386.5</c:v>
                </c:pt>
                <c:pt idx="43">
                  <c:v>3357.48</c:v>
                </c:pt>
                <c:pt idx="44">
                  <c:v>3323.29</c:v>
                </c:pt>
                <c:pt idx="45">
                  <c:v>3290.22</c:v>
                </c:pt>
                <c:pt idx="46">
                  <c:v>3261.35</c:v>
                </c:pt>
                <c:pt idx="47">
                  <c:v>3230.99</c:v>
                </c:pt>
                <c:pt idx="48">
                  <c:v>3200.61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5F-4B2F-A276-16C127BF1CE9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Table'!$Q$6:$Q$54</c:f>
              <c:numCache>
                <c:formatCode>General</c:formatCode>
                <c:ptCount val="49"/>
                <c:pt idx="0">
                  <c:v>3468.19</c:v>
                </c:pt>
                <c:pt idx="1">
                  <c:v>3422.26</c:v>
                </c:pt>
                <c:pt idx="2">
                  <c:v>3426.09</c:v>
                </c:pt>
                <c:pt idx="3">
                  <c:v>3451.08</c:v>
                </c:pt>
                <c:pt idx="4">
                  <c:v>3487.29</c:v>
                </c:pt>
                <c:pt idx="5">
                  <c:v>3511.34</c:v>
                </c:pt>
                <c:pt idx="6">
                  <c:v>3505.53</c:v>
                </c:pt>
                <c:pt idx="7">
                  <c:v>3482.56</c:v>
                </c:pt>
                <c:pt idx="8">
                  <c:v>3445.71</c:v>
                </c:pt>
                <c:pt idx="9">
                  <c:v>3370.52</c:v>
                </c:pt>
                <c:pt idx="10">
                  <c:v>3356.17</c:v>
                </c:pt>
                <c:pt idx="11">
                  <c:v>3362.81</c:v>
                </c:pt>
                <c:pt idx="12">
                  <c:v>3389.92</c:v>
                </c:pt>
                <c:pt idx="13">
                  <c:v>3436.07</c:v>
                </c:pt>
                <c:pt idx="14">
                  <c:v>3479.71</c:v>
                </c:pt>
                <c:pt idx="15">
                  <c:v>3513.43</c:v>
                </c:pt>
                <c:pt idx="16">
                  <c:v>3534.44</c:v>
                </c:pt>
                <c:pt idx="17">
                  <c:v>3551.92</c:v>
                </c:pt>
                <c:pt idx="18">
                  <c:v>3548.61</c:v>
                </c:pt>
                <c:pt idx="19">
                  <c:v>3538.49</c:v>
                </c:pt>
                <c:pt idx="20">
                  <c:v>3521.77</c:v>
                </c:pt>
                <c:pt idx="21">
                  <c:v>3493.15</c:v>
                </c:pt>
                <c:pt idx="22">
                  <c:v>3468.21</c:v>
                </c:pt>
                <c:pt idx="23">
                  <c:v>3436.39</c:v>
                </c:pt>
                <c:pt idx="24">
                  <c:v>3406.87</c:v>
                </c:pt>
                <c:pt idx="25">
                  <c:v>3216.14</c:v>
                </c:pt>
                <c:pt idx="26">
                  <c:v>3192.48</c:v>
                </c:pt>
                <c:pt idx="27">
                  <c:v>3184.77</c:v>
                </c:pt>
                <c:pt idx="28">
                  <c:v>3199.1</c:v>
                </c:pt>
                <c:pt idx="29">
                  <c:v>3229.93</c:v>
                </c:pt>
                <c:pt idx="30">
                  <c:v>3273.84</c:v>
                </c:pt>
                <c:pt idx="31">
                  <c:v>3319.49</c:v>
                </c:pt>
                <c:pt idx="32">
                  <c:v>3362.02</c:v>
                </c:pt>
                <c:pt idx="33">
                  <c:v>3398.29</c:v>
                </c:pt>
                <c:pt idx="34">
                  <c:v>3424.97</c:v>
                </c:pt>
                <c:pt idx="35">
                  <c:v>3446.71</c:v>
                </c:pt>
                <c:pt idx="36">
                  <c:v>3463.18</c:v>
                </c:pt>
                <c:pt idx="37">
                  <c:v>3475.8</c:v>
                </c:pt>
                <c:pt idx="38">
                  <c:v>3484.92</c:v>
                </c:pt>
                <c:pt idx="39">
                  <c:v>3465.44</c:v>
                </c:pt>
                <c:pt idx="40">
                  <c:v>3453.64</c:v>
                </c:pt>
                <c:pt idx="41">
                  <c:v>3445.62</c:v>
                </c:pt>
                <c:pt idx="42">
                  <c:v>3422.24</c:v>
                </c:pt>
                <c:pt idx="43">
                  <c:v>3395.55</c:v>
                </c:pt>
                <c:pt idx="44">
                  <c:v>3364.61</c:v>
                </c:pt>
                <c:pt idx="45">
                  <c:v>3334.73</c:v>
                </c:pt>
                <c:pt idx="46">
                  <c:v>3308.35</c:v>
                </c:pt>
                <c:pt idx="47">
                  <c:v>3279.26</c:v>
                </c:pt>
                <c:pt idx="48">
                  <c:v>3247.53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5F-4B2F-A276-16C127BF1CE9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Table'!$R$6:$R$54</c:f>
              <c:numCache>
                <c:formatCode>General</c:formatCode>
                <c:ptCount val="49"/>
                <c:pt idx="0">
                  <c:v>3517.79</c:v>
                </c:pt>
                <c:pt idx="1">
                  <c:v>3471.92</c:v>
                </c:pt>
                <c:pt idx="2">
                  <c:v>3475.99</c:v>
                </c:pt>
                <c:pt idx="3">
                  <c:v>3497.77</c:v>
                </c:pt>
                <c:pt idx="4">
                  <c:v>3532.92</c:v>
                </c:pt>
                <c:pt idx="5">
                  <c:v>3560.61</c:v>
                </c:pt>
                <c:pt idx="6">
                  <c:v>3553.26</c:v>
                </c:pt>
                <c:pt idx="7">
                  <c:v>3533.26</c:v>
                </c:pt>
                <c:pt idx="8">
                  <c:v>3497.47</c:v>
                </c:pt>
                <c:pt idx="9">
                  <c:v>3412.54</c:v>
                </c:pt>
                <c:pt idx="10">
                  <c:v>3392.89</c:v>
                </c:pt>
                <c:pt idx="11">
                  <c:v>3397.45</c:v>
                </c:pt>
                <c:pt idx="12">
                  <c:v>3422.64</c:v>
                </c:pt>
                <c:pt idx="13">
                  <c:v>3469.16</c:v>
                </c:pt>
                <c:pt idx="14">
                  <c:v>3516.76</c:v>
                </c:pt>
                <c:pt idx="15">
                  <c:v>3554.58</c:v>
                </c:pt>
                <c:pt idx="16">
                  <c:v>3579.93</c:v>
                </c:pt>
                <c:pt idx="17">
                  <c:v>3600.47</c:v>
                </c:pt>
                <c:pt idx="18">
                  <c:v>3599.24</c:v>
                </c:pt>
                <c:pt idx="19">
                  <c:v>3589.44</c:v>
                </c:pt>
                <c:pt idx="20">
                  <c:v>3571.74</c:v>
                </c:pt>
                <c:pt idx="21">
                  <c:v>3539.38</c:v>
                </c:pt>
                <c:pt idx="22">
                  <c:v>3513.08</c:v>
                </c:pt>
                <c:pt idx="23">
                  <c:v>3480.02</c:v>
                </c:pt>
                <c:pt idx="24">
                  <c:v>3449.82</c:v>
                </c:pt>
                <c:pt idx="25">
                  <c:v>3242.16</c:v>
                </c:pt>
                <c:pt idx="26">
                  <c:v>3215.67</c:v>
                </c:pt>
                <c:pt idx="27">
                  <c:v>3206.29</c:v>
                </c:pt>
                <c:pt idx="28">
                  <c:v>3213.66</c:v>
                </c:pt>
                <c:pt idx="29">
                  <c:v>3241.29</c:v>
                </c:pt>
                <c:pt idx="30">
                  <c:v>3291.11</c:v>
                </c:pt>
                <c:pt idx="31">
                  <c:v>3329.7</c:v>
                </c:pt>
                <c:pt idx="32">
                  <c:v>3376.57</c:v>
                </c:pt>
                <c:pt idx="33">
                  <c:v>3419.01</c:v>
                </c:pt>
                <c:pt idx="34">
                  <c:v>3450.51</c:v>
                </c:pt>
                <c:pt idx="35">
                  <c:v>3479.88</c:v>
                </c:pt>
                <c:pt idx="36">
                  <c:v>3500.47</c:v>
                </c:pt>
                <c:pt idx="37">
                  <c:v>3512.09</c:v>
                </c:pt>
                <c:pt idx="38">
                  <c:v>3524.72</c:v>
                </c:pt>
                <c:pt idx="39">
                  <c:v>3507.75</c:v>
                </c:pt>
                <c:pt idx="40">
                  <c:v>3497.42</c:v>
                </c:pt>
                <c:pt idx="41">
                  <c:v>3486.02</c:v>
                </c:pt>
                <c:pt idx="42">
                  <c:v>3459.16</c:v>
                </c:pt>
                <c:pt idx="43">
                  <c:v>3430.18</c:v>
                </c:pt>
                <c:pt idx="44">
                  <c:v>3397.01</c:v>
                </c:pt>
                <c:pt idx="45">
                  <c:v>3363.63</c:v>
                </c:pt>
                <c:pt idx="46">
                  <c:v>3337.87</c:v>
                </c:pt>
                <c:pt idx="47">
                  <c:v>3308</c:v>
                </c:pt>
                <c:pt idx="48">
                  <c:v>3274.3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5F-4B2F-A276-16C127BF1CE9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Table'!$S$6:$S$54</c:f>
              <c:numCache>
                <c:formatCode>General</c:formatCode>
                <c:ptCount val="49"/>
                <c:pt idx="0">
                  <c:v>3458.64</c:v>
                </c:pt>
                <c:pt idx="1">
                  <c:v>3413.63</c:v>
                </c:pt>
                <c:pt idx="2">
                  <c:v>3421.11</c:v>
                </c:pt>
                <c:pt idx="3">
                  <c:v>3445.22</c:v>
                </c:pt>
                <c:pt idx="4">
                  <c:v>3477.17</c:v>
                </c:pt>
                <c:pt idx="5">
                  <c:v>3502.42</c:v>
                </c:pt>
                <c:pt idx="6">
                  <c:v>3493.56</c:v>
                </c:pt>
                <c:pt idx="7">
                  <c:v>3470.93</c:v>
                </c:pt>
                <c:pt idx="8">
                  <c:v>3435.75</c:v>
                </c:pt>
                <c:pt idx="9">
                  <c:v>3349.6</c:v>
                </c:pt>
                <c:pt idx="10">
                  <c:v>3340.11</c:v>
                </c:pt>
                <c:pt idx="11">
                  <c:v>3349.07</c:v>
                </c:pt>
                <c:pt idx="12">
                  <c:v>3379.32</c:v>
                </c:pt>
                <c:pt idx="13">
                  <c:v>3424.74</c:v>
                </c:pt>
                <c:pt idx="14">
                  <c:v>3466.42</c:v>
                </c:pt>
                <c:pt idx="15">
                  <c:v>3500.23</c:v>
                </c:pt>
                <c:pt idx="16">
                  <c:v>3521.84</c:v>
                </c:pt>
                <c:pt idx="17">
                  <c:v>3540.89</c:v>
                </c:pt>
                <c:pt idx="18">
                  <c:v>3539.18</c:v>
                </c:pt>
                <c:pt idx="19">
                  <c:v>3528</c:v>
                </c:pt>
                <c:pt idx="20">
                  <c:v>3508.78</c:v>
                </c:pt>
                <c:pt idx="21">
                  <c:v>3476.34</c:v>
                </c:pt>
                <c:pt idx="22">
                  <c:v>3448.25</c:v>
                </c:pt>
                <c:pt idx="23">
                  <c:v>3415.34</c:v>
                </c:pt>
                <c:pt idx="24">
                  <c:v>3385.68</c:v>
                </c:pt>
                <c:pt idx="25">
                  <c:v>3187.36</c:v>
                </c:pt>
                <c:pt idx="26">
                  <c:v>3166.37</c:v>
                </c:pt>
                <c:pt idx="27">
                  <c:v>3161.41</c:v>
                </c:pt>
                <c:pt idx="28">
                  <c:v>3179.38</c:v>
                </c:pt>
                <c:pt idx="29">
                  <c:v>3210.97</c:v>
                </c:pt>
                <c:pt idx="30">
                  <c:v>3252.71</c:v>
                </c:pt>
                <c:pt idx="31">
                  <c:v>3295.15</c:v>
                </c:pt>
                <c:pt idx="32">
                  <c:v>3335.01</c:v>
                </c:pt>
                <c:pt idx="33">
                  <c:v>3369.11</c:v>
                </c:pt>
                <c:pt idx="34">
                  <c:v>3397.14</c:v>
                </c:pt>
                <c:pt idx="35">
                  <c:v>3421.75</c:v>
                </c:pt>
                <c:pt idx="36">
                  <c:v>3442.33</c:v>
                </c:pt>
                <c:pt idx="37">
                  <c:v>3455.03</c:v>
                </c:pt>
                <c:pt idx="38">
                  <c:v>3467.74</c:v>
                </c:pt>
                <c:pt idx="39">
                  <c:v>3450.4</c:v>
                </c:pt>
                <c:pt idx="40">
                  <c:v>3437.64</c:v>
                </c:pt>
                <c:pt idx="41">
                  <c:v>3427.37</c:v>
                </c:pt>
                <c:pt idx="42">
                  <c:v>3399.68</c:v>
                </c:pt>
                <c:pt idx="43">
                  <c:v>3381.53</c:v>
                </c:pt>
                <c:pt idx="44">
                  <c:v>3343.98</c:v>
                </c:pt>
                <c:pt idx="45">
                  <c:v>3310.36</c:v>
                </c:pt>
                <c:pt idx="46">
                  <c:v>3278.33</c:v>
                </c:pt>
                <c:pt idx="47">
                  <c:v>3244.76</c:v>
                </c:pt>
                <c:pt idx="48">
                  <c:v>3215.11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5F-4B2F-A276-16C127BF1CE9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Table'!$T$6:$T$54</c:f>
              <c:numCache>
                <c:formatCode>General</c:formatCode>
                <c:ptCount val="49"/>
                <c:pt idx="0">
                  <c:v>3393.01</c:v>
                </c:pt>
                <c:pt idx="1">
                  <c:v>3345.5</c:v>
                </c:pt>
                <c:pt idx="2">
                  <c:v>3352.82</c:v>
                </c:pt>
                <c:pt idx="3">
                  <c:v>3375.41</c:v>
                </c:pt>
                <c:pt idx="4">
                  <c:v>3410.19</c:v>
                </c:pt>
                <c:pt idx="5">
                  <c:v>3437.8</c:v>
                </c:pt>
                <c:pt idx="6">
                  <c:v>3427.96</c:v>
                </c:pt>
                <c:pt idx="7">
                  <c:v>3406.65</c:v>
                </c:pt>
                <c:pt idx="8">
                  <c:v>3369.37</c:v>
                </c:pt>
                <c:pt idx="9">
                  <c:v>3282.71</c:v>
                </c:pt>
                <c:pt idx="10">
                  <c:v>3268.31</c:v>
                </c:pt>
                <c:pt idx="11">
                  <c:v>3275.38</c:v>
                </c:pt>
                <c:pt idx="12">
                  <c:v>3303.47</c:v>
                </c:pt>
                <c:pt idx="13">
                  <c:v>3350.66</c:v>
                </c:pt>
                <c:pt idx="14">
                  <c:v>3395.97</c:v>
                </c:pt>
                <c:pt idx="15">
                  <c:v>3431.93</c:v>
                </c:pt>
                <c:pt idx="16">
                  <c:v>3457.61</c:v>
                </c:pt>
                <c:pt idx="17">
                  <c:v>3477.88</c:v>
                </c:pt>
                <c:pt idx="18">
                  <c:v>3476.55</c:v>
                </c:pt>
                <c:pt idx="19">
                  <c:v>3463.97</c:v>
                </c:pt>
                <c:pt idx="20">
                  <c:v>3444.49</c:v>
                </c:pt>
                <c:pt idx="21">
                  <c:v>3411.63</c:v>
                </c:pt>
                <c:pt idx="22">
                  <c:v>3382.4</c:v>
                </c:pt>
                <c:pt idx="23">
                  <c:v>3347.96</c:v>
                </c:pt>
                <c:pt idx="24">
                  <c:v>3319</c:v>
                </c:pt>
                <c:pt idx="25">
                  <c:v>3124.84</c:v>
                </c:pt>
                <c:pt idx="26">
                  <c:v>3101.75</c:v>
                </c:pt>
                <c:pt idx="27">
                  <c:v>3094.89</c:v>
                </c:pt>
                <c:pt idx="28">
                  <c:v>3105.92</c:v>
                </c:pt>
                <c:pt idx="29">
                  <c:v>3136.83</c:v>
                </c:pt>
                <c:pt idx="30">
                  <c:v>3179.08</c:v>
                </c:pt>
                <c:pt idx="31">
                  <c:v>3224.1</c:v>
                </c:pt>
                <c:pt idx="32">
                  <c:v>3265.78</c:v>
                </c:pt>
                <c:pt idx="33">
                  <c:v>3303.68</c:v>
                </c:pt>
                <c:pt idx="34">
                  <c:v>3332.87</c:v>
                </c:pt>
                <c:pt idx="35">
                  <c:v>3359.09</c:v>
                </c:pt>
                <c:pt idx="36">
                  <c:v>3383.45</c:v>
                </c:pt>
                <c:pt idx="37">
                  <c:v>3395.5</c:v>
                </c:pt>
                <c:pt idx="38">
                  <c:v>3408.72</c:v>
                </c:pt>
                <c:pt idx="39">
                  <c:v>3392.56</c:v>
                </c:pt>
                <c:pt idx="40">
                  <c:v>3382.42</c:v>
                </c:pt>
                <c:pt idx="41">
                  <c:v>3367.44</c:v>
                </c:pt>
                <c:pt idx="42">
                  <c:v>3338.56</c:v>
                </c:pt>
                <c:pt idx="43">
                  <c:v>3306.78</c:v>
                </c:pt>
                <c:pt idx="44">
                  <c:v>3274.31</c:v>
                </c:pt>
                <c:pt idx="45">
                  <c:v>3242.79</c:v>
                </c:pt>
                <c:pt idx="46">
                  <c:v>3215.58</c:v>
                </c:pt>
                <c:pt idx="47">
                  <c:v>3188.2</c:v>
                </c:pt>
                <c:pt idx="48">
                  <c:v>3158.48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5F-4B2F-A276-16C127BF1CE9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Table'!$U$6:$U$54</c:f>
              <c:numCache>
                <c:formatCode>General</c:formatCode>
                <c:ptCount val="49"/>
                <c:pt idx="0">
                  <c:v>3488.23</c:v>
                </c:pt>
                <c:pt idx="1">
                  <c:v>3442.3</c:v>
                </c:pt>
                <c:pt idx="2">
                  <c:v>3455.19</c:v>
                </c:pt>
                <c:pt idx="3">
                  <c:v>3476.98</c:v>
                </c:pt>
                <c:pt idx="4">
                  <c:v>3508.46</c:v>
                </c:pt>
                <c:pt idx="5">
                  <c:v>3529.46</c:v>
                </c:pt>
                <c:pt idx="6">
                  <c:v>3520.22</c:v>
                </c:pt>
                <c:pt idx="7">
                  <c:v>3498.47</c:v>
                </c:pt>
                <c:pt idx="8">
                  <c:v>3462.88</c:v>
                </c:pt>
                <c:pt idx="9">
                  <c:v>3375.55</c:v>
                </c:pt>
                <c:pt idx="10">
                  <c:v>3366.63</c:v>
                </c:pt>
                <c:pt idx="11">
                  <c:v>3378.93</c:v>
                </c:pt>
                <c:pt idx="12">
                  <c:v>3411.26</c:v>
                </c:pt>
                <c:pt idx="13">
                  <c:v>3455.11</c:v>
                </c:pt>
                <c:pt idx="14">
                  <c:v>3497.23</c:v>
                </c:pt>
                <c:pt idx="15">
                  <c:v>3532.55</c:v>
                </c:pt>
                <c:pt idx="16">
                  <c:v>3551.89</c:v>
                </c:pt>
                <c:pt idx="17">
                  <c:v>3570.83</c:v>
                </c:pt>
                <c:pt idx="18">
                  <c:v>3565.82</c:v>
                </c:pt>
                <c:pt idx="19">
                  <c:v>3553.61</c:v>
                </c:pt>
                <c:pt idx="20">
                  <c:v>3534.87</c:v>
                </c:pt>
                <c:pt idx="21">
                  <c:v>3501.3</c:v>
                </c:pt>
                <c:pt idx="22">
                  <c:v>3473.44</c:v>
                </c:pt>
                <c:pt idx="23">
                  <c:v>3440.28</c:v>
                </c:pt>
                <c:pt idx="24">
                  <c:v>3410.84</c:v>
                </c:pt>
                <c:pt idx="25">
                  <c:v>3180.46</c:v>
                </c:pt>
                <c:pt idx="26">
                  <c:v>3161.78</c:v>
                </c:pt>
                <c:pt idx="27">
                  <c:v>3159.13</c:v>
                </c:pt>
                <c:pt idx="28">
                  <c:v>3180.41</c:v>
                </c:pt>
                <c:pt idx="29">
                  <c:v>3210.64</c:v>
                </c:pt>
                <c:pt idx="30">
                  <c:v>3249.22</c:v>
                </c:pt>
                <c:pt idx="31">
                  <c:v>3292.39</c:v>
                </c:pt>
                <c:pt idx="32">
                  <c:v>3331.78</c:v>
                </c:pt>
                <c:pt idx="33">
                  <c:v>3365.68</c:v>
                </c:pt>
                <c:pt idx="34">
                  <c:v>3394.99</c:v>
                </c:pt>
                <c:pt idx="35">
                  <c:v>3424.73</c:v>
                </c:pt>
                <c:pt idx="36">
                  <c:v>3442.61</c:v>
                </c:pt>
                <c:pt idx="37">
                  <c:v>3453.4</c:v>
                </c:pt>
                <c:pt idx="38">
                  <c:v>3463.45</c:v>
                </c:pt>
                <c:pt idx="39">
                  <c:v>3445.39</c:v>
                </c:pt>
                <c:pt idx="40">
                  <c:v>3433.12</c:v>
                </c:pt>
                <c:pt idx="41">
                  <c:v>3420.43</c:v>
                </c:pt>
                <c:pt idx="42">
                  <c:v>3391.2</c:v>
                </c:pt>
                <c:pt idx="43">
                  <c:v>3362.9</c:v>
                </c:pt>
                <c:pt idx="44">
                  <c:v>3330.41</c:v>
                </c:pt>
                <c:pt idx="45">
                  <c:v>3299.54</c:v>
                </c:pt>
                <c:pt idx="46">
                  <c:v>3258.27</c:v>
                </c:pt>
                <c:pt idx="47">
                  <c:v>3231.54</c:v>
                </c:pt>
                <c:pt idx="48">
                  <c:v>3204.33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5F-4B2F-A276-16C127BF1CE9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Table'!$V$6:$V$54</c:f>
              <c:numCache>
                <c:formatCode>General</c:formatCode>
                <c:ptCount val="49"/>
                <c:pt idx="0">
                  <c:v>3318.64</c:v>
                </c:pt>
                <c:pt idx="1">
                  <c:v>3268.7</c:v>
                </c:pt>
                <c:pt idx="2">
                  <c:v>3272.55</c:v>
                </c:pt>
                <c:pt idx="3">
                  <c:v>3298.32</c:v>
                </c:pt>
                <c:pt idx="4">
                  <c:v>3335.96</c:v>
                </c:pt>
                <c:pt idx="5">
                  <c:v>3361.87</c:v>
                </c:pt>
                <c:pt idx="6">
                  <c:v>3356.42</c:v>
                </c:pt>
                <c:pt idx="7">
                  <c:v>3336.56</c:v>
                </c:pt>
                <c:pt idx="8">
                  <c:v>3299.74</c:v>
                </c:pt>
                <c:pt idx="9">
                  <c:v>3210.07</c:v>
                </c:pt>
                <c:pt idx="10">
                  <c:v>3190.99</c:v>
                </c:pt>
                <c:pt idx="11">
                  <c:v>3197</c:v>
                </c:pt>
                <c:pt idx="12">
                  <c:v>3227.29</c:v>
                </c:pt>
                <c:pt idx="13">
                  <c:v>3275.16</c:v>
                </c:pt>
                <c:pt idx="14">
                  <c:v>3321.6</c:v>
                </c:pt>
                <c:pt idx="15">
                  <c:v>3358.89</c:v>
                </c:pt>
                <c:pt idx="16">
                  <c:v>3382.15</c:v>
                </c:pt>
                <c:pt idx="17">
                  <c:v>3402.55</c:v>
                </c:pt>
                <c:pt idx="18">
                  <c:v>3402.28</c:v>
                </c:pt>
                <c:pt idx="19">
                  <c:v>3392.99</c:v>
                </c:pt>
                <c:pt idx="20">
                  <c:v>3376.14</c:v>
                </c:pt>
                <c:pt idx="21">
                  <c:v>3346.24</c:v>
                </c:pt>
                <c:pt idx="22">
                  <c:v>3319.25</c:v>
                </c:pt>
                <c:pt idx="23">
                  <c:v>3285.55</c:v>
                </c:pt>
                <c:pt idx="24">
                  <c:v>3250.13</c:v>
                </c:pt>
                <c:pt idx="25">
                  <c:v>3068.15</c:v>
                </c:pt>
                <c:pt idx="26">
                  <c:v>3038.97</c:v>
                </c:pt>
                <c:pt idx="27">
                  <c:v>3028.65</c:v>
                </c:pt>
                <c:pt idx="28">
                  <c:v>3039.21</c:v>
                </c:pt>
                <c:pt idx="29">
                  <c:v>3071.17</c:v>
                </c:pt>
                <c:pt idx="30">
                  <c:v>3117.11</c:v>
                </c:pt>
                <c:pt idx="31">
                  <c:v>3164.96</c:v>
                </c:pt>
                <c:pt idx="32">
                  <c:v>3208.75</c:v>
                </c:pt>
                <c:pt idx="33">
                  <c:v>3245.74</c:v>
                </c:pt>
                <c:pt idx="34">
                  <c:v>3277.9</c:v>
                </c:pt>
                <c:pt idx="35">
                  <c:v>3302.89</c:v>
                </c:pt>
                <c:pt idx="36">
                  <c:v>3322.07</c:v>
                </c:pt>
                <c:pt idx="37">
                  <c:v>3333.56</c:v>
                </c:pt>
                <c:pt idx="38">
                  <c:v>3345.34</c:v>
                </c:pt>
                <c:pt idx="39">
                  <c:v>3329.53</c:v>
                </c:pt>
                <c:pt idx="40">
                  <c:v>3318.95</c:v>
                </c:pt>
                <c:pt idx="41">
                  <c:v>3309.69</c:v>
                </c:pt>
                <c:pt idx="42">
                  <c:v>3285.98</c:v>
                </c:pt>
                <c:pt idx="43">
                  <c:v>3258.19</c:v>
                </c:pt>
                <c:pt idx="44">
                  <c:v>3228.3</c:v>
                </c:pt>
                <c:pt idx="45">
                  <c:v>3197.53</c:v>
                </c:pt>
                <c:pt idx="46">
                  <c:v>3169.48</c:v>
                </c:pt>
                <c:pt idx="47">
                  <c:v>3138.32</c:v>
                </c:pt>
                <c:pt idx="48">
                  <c:v>3104.27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5F-4B2F-A276-16C127BF1CE9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5F-4B2F-A276-16C127BF1CE9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5F-4B2F-A276-16C127BF1CE9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5F-4B2F-A276-16C127BF1CE9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5F-4B2F-A276-16C127BF1CE9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5F-4B2F-A276-16C127BF1CE9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'SiO2_Thickness Table'!#REF!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5F-4B2F-A276-16C127BF1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503056"/>
        <c:axId val="478505024"/>
      </c:lineChart>
      <c:catAx>
        <c:axId val="478503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505024"/>
        <c:crosses val="autoZero"/>
        <c:auto val="1"/>
        <c:lblAlgn val="ctr"/>
        <c:lblOffset val="100"/>
        <c:noMultiLvlLbl val="0"/>
      </c:catAx>
      <c:valAx>
        <c:axId val="4785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50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_xlchart.0</cx:f>
      </cx:numDim>
    </cx:data>
  </cx:chartData>
  <cx:chart>
    <cx:title pos="t" align="ctr" overlay="0"/>
    <cx:plotArea>
      <cx:plotAreaRegion>
        <cx:series layoutId="clusteredColumn" uniqueId="{375366AD-066C-4A07-A901-5021C2FC4C6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197923</xdr:colOff>
      <xdr:row>9</xdr:row>
      <xdr:rowOff>81641</xdr:rowOff>
    </xdr:from>
    <xdr:to>
      <xdr:col>32</xdr:col>
      <xdr:colOff>123378</xdr:colOff>
      <xdr:row>38</xdr:row>
      <xdr:rowOff>57499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9514" y="2021277"/>
          <a:ext cx="6160001" cy="6037222"/>
        </a:xfrm>
        <a:prstGeom prst="rect">
          <a:avLst/>
        </a:prstGeom>
      </xdr:spPr>
    </xdr:pic>
    <xdr:clientData/>
  </xdr:twoCellAnchor>
  <xdr:twoCellAnchor>
    <xdr:from>
      <xdr:col>23</xdr:col>
      <xdr:colOff>22091</xdr:colOff>
      <xdr:row>41</xdr:row>
      <xdr:rowOff>208427</xdr:rowOff>
    </xdr:from>
    <xdr:to>
      <xdr:col>35</xdr:col>
      <xdr:colOff>425824</xdr:colOff>
      <xdr:row>64</xdr:row>
      <xdr:rowOff>44823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16807</xdr:colOff>
      <xdr:row>7</xdr:row>
      <xdr:rowOff>6723</xdr:rowOff>
    </xdr:from>
    <xdr:to>
      <xdr:col>44</xdr:col>
      <xdr:colOff>302558</xdr:colOff>
      <xdr:row>36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17929</xdr:colOff>
      <xdr:row>66</xdr:row>
      <xdr:rowOff>13448</xdr:rowOff>
    </xdr:from>
    <xdr:to>
      <xdr:col>12</xdr:col>
      <xdr:colOff>555811</xdr:colOff>
      <xdr:row>74</xdr:row>
      <xdr:rowOff>103095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6" name="차트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71"/>
  <sheetViews>
    <sheetView tabSelected="1" topLeftCell="A62" zoomScale="85" zoomScaleNormal="85" workbookViewId="0">
      <selection activeCell="Q70" sqref="Q70"/>
    </sheetView>
  </sheetViews>
  <sheetFormatPr defaultRowHeight="17.399999999999999"/>
  <cols>
    <col min="3" max="3" width="17.09765625" customWidth="1"/>
  </cols>
  <sheetData>
    <row r="2" spans="3:33" ht="18" thickBot="1"/>
    <row r="3" spans="3:33" ht="18" thickBot="1">
      <c r="Y3" s="24" t="s">
        <v>4</v>
      </c>
      <c r="Z3" s="25" t="s">
        <v>6</v>
      </c>
      <c r="AA3" s="26" t="s">
        <v>7</v>
      </c>
      <c r="AB3" s="27" t="s">
        <v>5</v>
      </c>
    </row>
    <row r="4" spans="3:33">
      <c r="C4" s="130" t="s">
        <v>102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2"/>
    </row>
    <row r="5" spans="3:33" ht="18" thickBot="1">
      <c r="C5" s="4" t="s">
        <v>0</v>
      </c>
      <c r="D5" s="28" t="s">
        <v>16</v>
      </c>
      <c r="E5" s="28" t="s">
        <v>17</v>
      </c>
      <c r="F5" s="28" t="s">
        <v>19</v>
      </c>
      <c r="G5" s="28" t="s">
        <v>20</v>
      </c>
      <c r="H5" s="28" t="s">
        <v>21</v>
      </c>
      <c r="I5" s="28" t="s">
        <v>22</v>
      </c>
      <c r="J5" s="28" t="s">
        <v>23</v>
      </c>
      <c r="K5" s="28" t="s">
        <v>24</v>
      </c>
      <c r="L5" s="28" t="s">
        <v>25</v>
      </c>
      <c r="M5" s="28" t="s">
        <v>26</v>
      </c>
      <c r="N5" s="28" t="s">
        <v>27</v>
      </c>
      <c r="O5" s="28" t="s">
        <v>28</v>
      </c>
      <c r="P5" s="28" t="s">
        <v>29</v>
      </c>
      <c r="Q5" s="28" t="s">
        <v>30</v>
      </c>
      <c r="R5" s="28" t="s">
        <v>31</v>
      </c>
      <c r="S5" s="28" t="s">
        <v>32</v>
      </c>
      <c r="T5" s="28" t="s">
        <v>33</v>
      </c>
      <c r="U5" s="28" t="s">
        <v>34</v>
      </c>
      <c r="V5" s="38" t="s">
        <v>35</v>
      </c>
    </row>
    <row r="6" spans="3:33" ht="18" thickBot="1">
      <c r="C6" s="15">
        <v>1</v>
      </c>
      <c r="D6" s="29">
        <v>3339.5</v>
      </c>
      <c r="E6" s="29">
        <v>3400.28</v>
      </c>
      <c r="F6" s="29">
        <v>3223.42</v>
      </c>
      <c r="G6" s="29">
        <v>3427.89</v>
      </c>
      <c r="H6" s="29">
        <v>3577.08</v>
      </c>
      <c r="I6" s="29">
        <v>3438.52</v>
      </c>
      <c r="J6" s="29">
        <v>3673.92</v>
      </c>
      <c r="K6" s="29">
        <v>3774.64</v>
      </c>
      <c r="L6" s="29">
        <v>3275.3</v>
      </c>
      <c r="M6" s="29">
        <v>3443.34</v>
      </c>
      <c r="N6" s="29">
        <v>3591.14</v>
      </c>
      <c r="O6" s="29">
        <v>3446.07</v>
      </c>
      <c r="P6" s="29">
        <v>3448.95</v>
      </c>
      <c r="Q6" s="29">
        <v>3468.19</v>
      </c>
      <c r="R6" s="29">
        <v>3517.79</v>
      </c>
      <c r="S6" s="29">
        <v>3458.64</v>
      </c>
      <c r="T6" s="29">
        <v>3393.01</v>
      </c>
      <c r="U6" s="29">
        <v>3488.23</v>
      </c>
      <c r="V6" s="30">
        <v>3318.64</v>
      </c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3:33">
      <c r="C7" s="16">
        <v>2</v>
      </c>
      <c r="D7" s="29">
        <v>3292.08</v>
      </c>
      <c r="E7" s="29">
        <v>3348.53</v>
      </c>
      <c r="F7" s="29">
        <v>3197.25</v>
      </c>
      <c r="G7" s="29">
        <v>3380.95</v>
      </c>
      <c r="H7" s="29">
        <v>3533.79</v>
      </c>
      <c r="I7" s="29">
        <v>3388.82</v>
      </c>
      <c r="J7" s="29">
        <v>3633.79</v>
      </c>
      <c r="K7" s="29">
        <v>3781.4</v>
      </c>
      <c r="L7" s="29">
        <v>3232.81</v>
      </c>
      <c r="M7" s="29">
        <v>3398.85</v>
      </c>
      <c r="N7" s="29">
        <v>3538.14</v>
      </c>
      <c r="O7" s="29">
        <v>3412.99</v>
      </c>
      <c r="P7" s="29">
        <v>3404.22</v>
      </c>
      <c r="Q7" s="29">
        <v>3422.26</v>
      </c>
      <c r="R7" s="29">
        <v>3471.92</v>
      </c>
      <c r="S7" s="29">
        <v>3413.63</v>
      </c>
      <c r="T7" s="29">
        <v>3345.5</v>
      </c>
      <c r="U7" s="29">
        <v>3442.3</v>
      </c>
      <c r="V7" s="30">
        <v>3268.7</v>
      </c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3:33">
      <c r="C8" s="12">
        <v>3</v>
      </c>
      <c r="D8" s="29">
        <v>3289.93</v>
      </c>
      <c r="E8" s="29">
        <v>3357.43</v>
      </c>
      <c r="F8" s="29">
        <v>3176.61</v>
      </c>
      <c r="G8" s="29">
        <v>3392.26</v>
      </c>
      <c r="H8" s="29">
        <v>3542.13</v>
      </c>
      <c r="I8" s="29">
        <v>3397.87</v>
      </c>
      <c r="J8" s="29">
        <v>3638.76</v>
      </c>
      <c r="K8" s="29">
        <v>3739.57</v>
      </c>
      <c r="L8" s="29">
        <v>3240.03</v>
      </c>
      <c r="M8" s="29">
        <v>3409.19</v>
      </c>
      <c r="N8" s="29">
        <v>3550.94</v>
      </c>
      <c r="O8" s="29">
        <v>3400.21</v>
      </c>
      <c r="P8" s="29">
        <v>3413.89</v>
      </c>
      <c r="Q8" s="29">
        <v>3426.09</v>
      </c>
      <c r="R8" s="29">
        <v>3475.99</v>
      </c>
      <c r="S8" s="29">
        <v>3421.11</v>
      </c>
      <c r="T8" s="29">
        <v>3352.82</v>
      </c>
      <c r="U8" s="29">
        <v>3455.19</v>
      </c>
      <c r="V8" s="30">
        <v>3272.55</v>
      </c>
      <c r="X8" s="128" t="s">
        <v>8</v>
      </c>
      <c r="Y8" s="129"/>
      <c r="Z8" s="129"/>
      <c r="AA8" s="129"/>
      <c r="AB8" s="129"/>
      <c r="AC8" s="129"/>
      <c r="AD8" s="129"/>
      <c r="AE8" s="129"/>
      <c r="AF8" s="129"/>
      <c r="AG8" s="21"/>
    </row>
    <row r="9" spans="3:33">
      <c r="C9" s="12">
        <v>4</v>
      </c>
      <c r="D9" s="29">
        <v>3314.24</v>
      </c>
      <c r="E9" s="29">
        <v>3381.13</v>
      </c>
      <c r="F9" s="29">
        <v>3166.2</v>
      </c>
      <c r="G9" s="29">
        <v>3414.62</v>
      </c>
      <c r="H9" s="29">
        <v>3563.74</v>
      </c>
      <c r="I9" s="29">
        <v>3423.83</v>
      </c>
      <c r="J9" s="29">
        <v>3661.25</v>
      </c>
      <c r="K9" s="29">
        <v>3702.27</v>
      </c>
      <c r="L9" s="29">
        <v>3261.33</v>
      </c>
      <c r="M9" s="29">
        <v>3432.11</v>
      </c>
      <c r="N9" s="29">
        <v>3576.62</v>
      </c>
      <c r="O9" s="29">
        <v>3392.88</v>
      </c>
      <c r="P9" s="29">
        <v>3435.52</v>
      </c>
      <c r="Q9" s="29">
        <v>3451.08</v>
      </c>
      <c r="R9" s="29">
        <v>3497.77</v>
      </c>
      <c r="S9" s="29">
        <v>3445.22</v>
      </c>
      <c r="T9" s="29">
        <v>3375.41</v>
      </c>
      <c r="U9" s="29">
        <v>3476.98</v>
      </c>
      <c r="V9" s="30">
        <v>3298.32</v>
      </c>
      <c r="X9" s="129"/>
      <c r="Y9" s="129"/>
      <c r="Z9" s="129"/>
      <c r="AA9" s="129"/>
      <c r="AB9" s="129"/>
      <c r="AC9" s="129"/>
      <c r="AD9" s="129"/>
      <c r="AE9" s="129"/>
      <c r="AF9" s="129"/>
      <c r="AG9" s="21"/>
    </row>
    <row r="10" spans="3:33">
      <c r="C10" s="12">
        <v>5</v>
      </c>
      <c r="D10" s="29">
        <v>3354.01</v>
      </c>
      <c r="E10" s="29">
        <v>3418.21</v>
      </c>
      <c r="F10" s="29">
        <v>3197.45</v>
      </c>
      <c r="G10" s="29">
        <v>3446.44</v>
      </c>
      <c r="H10" s="29">
        <v>3595.24</v>
      </c>
      <c r="I10" s="29">
        <v>3457.15</v>
      </c>
      <c r="J10" s="29">
        <v>3689.66</v>
      </c>
      <c r="K10" s="29">
        <v>3727.68</v>
      </c>
      <c r="L10" s="29">
        <v>3292.05</v>
      </c>
      <c r="M10" s="29">
        <v>3462.17</v>
      </c>
      <c r="N10" s="29">
        <v>3609.76</v>
      </c>
      <c r="O10" s="29">
        <v>3426</v>
      </c>
      <c r="P10" s="29">
        <v>3467.42</v>
      </c>
      <c r="Q10" s="29">
        <v>3487.29</v>
      </c>
      <c r="R10" s="29">
        <v>3532.92</v>
      </c>
      <c r="S10" s="29">
        <v>3477.17</v>
      </c>
      <c r="T10" s="29">
        <v>3410.19</v>
      </c>
      <c r="U10" s="29">
        <v>3508.46</v>
      </c>
      <c r="V10" s="30">
        <v>3335.96</v>
      </c>
      <c r="X10" s="127"/>
      <c r="Y10" s="127"/>
      <c r="Z10" s="127"/>
      <c r="AA10" s="127"/>
      <c r="AB10" s="127"/>
      <c r="AC10" s="127"/>
      <c r="AD10" s="127"/>
      <c r="AE10" s="127"/>
      <c r="AF10" s="127"/>
      <c r="AG10" s="21"/>
    </row>
    <row r="11" spans="3:33">
      <c r="C11" s="12">
        <v>6</v>
      </c>
      <c r="D11" s="29">
        <v>3381.64</v>
      </c>
      <c r="E11" s="29">
        <v>3444.96</v>
      </c>
      <c r="F11" s="29">
        <v>3250.92</v>
      </c>
      <c r="G11" s="29">
        <v>3468.6</v>
      </c>
      <c r="H11" s="29">
        <v>3617.18</v>
      </c>
      <c r="I11" s="29">
        <v>3483.5</v>
      </c>
      <c r="J11" s="29">
        <v>3709.87</v>
      </c>
      <c r="K11" s="29">
        <v>3785.99</v>
      </c>
      <c r="L11" s="29">
        <v>3316.48</v>
      </c>
      <c r="M11" s="29">
        <v>3486.74</v>
      </c>
      <c r="N11" s="29">
        <v>3635.69</v>
      </c>
      <c r="O11" s="29">
        <v>3476.83</v>
      </c>
      <c r="P11" s="29">
        <v>3489.56</v>
      </c>
      <c r="Q11" s="29">
        <v>3511.34</v>
      </c>
      <c r="R11" s="29">
        <v>3560.61</v>
      </c>
      <c r="S11" s="29">
        <v>3502.42</v>
      </c>
      <c r="T11" s="29">
        <v>3437.8</v>
      </c>
      <c r="U11" s="29">
        <v>3529.46</v>
      </c>
      <c r="V11" s="30">
        <v>3361.87</v>
      </c>
      <c r="X11" s="127"/>
      <c r="Y11" s="127"/>
      <c r="Z11" s="127"/>
      <c r="AA11" s="127"/>
      <c r="AB11" s="127"/>
      <c r="AC11" s="127"/>
      <c r="AD11" s="127"/>
      <c r="AE11" s="127"/>
      <c r="AF11" s="127"/>
      <c r="AG11" s="21"/>
    </row>
    <row r="12" spans="3:33">
      <c r="C12" s="12">
        <v>7</v>
      </c>
      <c r="D12" s="29">
        <v>3376.34</v>
      </c>
      <c r="E12" s="29">
        <v>3437.96</v>
      </c>
      <c r="F12" s="29">
        <v>3269.56</v>
      </c>
      <c r="G12" s="29">
        <v>3462</v>
      </c>
      <c r="H12" s="29">
        <v>3610.46</v>
      </c>
      <c r="I12" s="29">
        <v>3475.37</v>
      </c>
      <c r="J12" s="29">
        <v>3706.05</v>
      </c>
      <c r="K12" s="29">
        <v>3817.22</v>
      </c>
      <c r="L12" s="29">
        <v>3308.94</v>
      </c>
      <c r="M12" s="29">
        <v>3477.35</v>
      </c>
      <c r="N12" s="29">
        <v>3628.74</v>
      </c>
      <c r="O12" s="29">
        <v>3489.03</v>
      </c>
      <c r="P12" s="29">
        <v>3481.78</v>
      </c>
      <c r="Q12" s="29">
        <v>3505.53</v>
      </c>
      <c r="R12" s="29">
        <v>3553.26</v>
      </c>
      <c r="S12" s="29">
        <v>3493.56</v>
      </c>
      <c r="T12" s="29">
        <v>3427.96</v>
      </c>
      <c r="U12" s="29">
        <v>3520.22</v>
      </c>
      <c r="V12" s="30">
        <v>3356.42</v>
      </c>
      <c r="X12" s="127"/>
      <c r="Y12" s="127"/>
      <c r="Z12" s="127"/>
      <c r="AA12" s="127"/>
      <c r="AB12" s="127"/>
      <c r="AC12" s="127"/>
      <c r="AD12" s="127"/>
      <c r="AE12" s="127"/>
      <c r="AF12" s="127"/>
      <c r="AG12" s="21"/>
    </row>
    <row r="13" spans="3:33">
      <c r="C13" s="12">
        <v>8</v>
      </c>
      <c r="D13" s="29">
        <v>3357.05</v>
      </c>
      <c r="E13" s="29">
        <v>3416.46</v>
      </c>
      <c r="F13" s="29">
        <v>3261.89</v>
      </c>
      <c r="G13" s="29">
        <v>3440.84</v>
      </c>
      <c r="H13" s="29">
        <v>3590.7</v>
      </c>
      <c r="I13" s="29">
        <v>3454.65</v>
      </c>
      <c r="J13" s="29">
        <v>3690.8</v>
      </c>
      <c r="K13" s="29">
        <v>3826.69</v>
      </c>
      <c r="L13" s="29">
        <v>3290.97</v>
      </c>
      <c r="M13" s="29">
        <v>3456.77</v>
      </c>
      <c r="N13" s="29">
        <v>3604.05</v>
      </c>
      <c r="O13" s="29">
        <v>3478.53</v>
      </c>
      <c r="P13" s="29">
        <v>3460.93</v>
      </c>
      <c r="Q13" s="29">
        <v>3482.56</v>
      </c>
      <c r="R13" s="29">
        <v>3533.26</v>
      </c>
      <c r="S13" s="29">
        <v>3470.93</v>
      </c>
      <c r="T13" s="29">
        <v>3406.65</v>
      </c>
      <c r="U13" s="29">
        <v>3498.47</v>
      </c>
      <c r="V13" s="30">
        <v>3336.56</v>
      </c>
      <c r="X13" s="127"/>
      <c r="Y13" s="127"/>
      <c r="Z13" s="127"/>
      <c r="AA13" s="127"/>
      <c r="AB13" s="127"/>
      <c r="AC13" s="127"/>
      <c r="AD13" s="127"/>
      <c r="AE13" s="127"/>
      <c r="AF13" s="127"/>
      <c r="AG13" s="21"/>
    </row>
    <row r="14" spans="3:33" ht="18" thickBot="1">
      <c r="C14" s="17">
        <v>9</v>
      </c>
      <c r="D14" s="29">
        <v>3320.23</v>
      </c>
      <c r="E14" s="29">
        <v>3377.16</v>
      </c>
      <c r="F14" s="29">
        <v>3228.73</v>
      </c>
      <c r="G14" s="29">
        <v>3405.25</v>
      </c>
      <c r="H14" s="29">
        <v>3556.2</v>
      </c>
      <c r="I14" s="29">
        <v>3416.55</v>
      </c>
      <c r="J14" s="29">
        <v>3659.61</v>
      </c>
      <c r="K14" s="29">
        <v>3811.05</v>
      </c>
      <c r="L14" s="29">
        <v>3258.03</v>
      </c>
      <c r="M14" s="29">
        <v>3422.65</v>
      </c>
      <c r="N14" s="29">
        <v>3564.37</v>
      </c>
      <c r="O14" s="29">
        <v>3442.39</v>
      </c>
      <c r="P14" s="29">
        <v>3425.49</v>
      </c>
      <c r="Q14" s="29">
        <v>3445.71</v>
      </c>
      <c r="R14" s="29">
        <v>3497.47</v>
      </c>
      <c r="S14" s="29">
        <v>3435.75</v>
      </c>
      <c r="T14" s="29">
        <v>3369.37</v>
      </c>
      <c r="U14" s="29">
        <v>3462.88</v>
      </c>
      <c r="V14" s="30">
        <v>3299.74</v>
      </c>
      <c r="X14" s="127"/>
      <c r="Y14" s="127"/>
      <c r="Z14" s="127"/>
      <c r="AA14" s="127"/>
      <c r="AB14" s="127"/>
      <c r="AC14" s="127"/>
      <c r="AD14" s="127"/>
      <c r="AE14" s="127"/>
      <c r="AF14" s="127"/>
      <c r="AG14" s="21"/>
    </row>
    <row r="15" spans="3:33">
      <c r="C15" s="19">
        <v>10</v>
      </c>
      <c r="D15" s="29">
        <v>3234.06</v>
      </c>
      <c r="E15" s="29">
        <v>3286.88</v>
      </c>
      <c r="F15" s="29">
        <v>3157.73</v>
      </c>
      <c r="G15" s="29">
        <v>3317.96</v>
      </c>
      <c r="H15" s="29">
        <v>3472.73</v>
      </c>
      <c r="I15" s="29">
        <v>3327.93</v>
      </c>
      <c r="J15" s="29">
        <v>3575.11</v>
      </c>
      <c r="K15" s="29">
        <v>3780.04</v>
      </c>
      <c r="L15" s="29">
        <v>3175.04</v>
      </c>
      <c r="M15" s="29">
        <v>3338.34</v>
      </c>
      <c r="N15" s="29">
        <v>3469.38</v>
      </c>
      <c r="O15" s="29">
        <v>3373.25</v>
      </c>
      <c r="P15" s="29">
        <v>3340.52</v>
      </c>
      <c r="Q15" s="29">
        <v>3370.52</v>
      </c>
      <c r="R15" s="29">
        <v>3412.54</v>
      </c>
      <c r="S15" s="29">
        <v>3349.6</v>
      </c>
      <c r="T15" s="29">
        <v>3282.71</v>
      </c>
      <c r="U15" s="29">
        <v>3375.55</v>
      </c>
      <c r="V15" s="30">
        <v>3210.07</v>
      </c>
      <c r="X15" s="127"/>
      <c r="Y15" s="127"/>
      <c r="Z15" s="127"/>
      <c r="AA15" s="127"/>
      <c r="AB15" s="127"/>
      <c r="AC15" s="127"/>
      <c r="AD15" s="127"/>
      <c r="AE15" s="127"/>
      <c r="AF15" s="127"/>
      <c r="AG15" s="21"/>
    </row>
    <row r="16" spans="3:33">
      <c r="C16" s="11">
        <v>11</v>
      </c>
      <c r="D16" s="29">
        <v>3214.59</v>
      </c>
      <c r="E16" s="29">
        <v>3270.77</v>
      </c>
      <c r="F16" s="29">
        <v>3130.33</v>
      </c>
      <c r="G16" s="29">
        <v>3308.03</v>
      </c>
      <c r="H16" s="29">
        <v>3460.58</v>
      </c>
      <c r="I16" s="29">
        <v>3310.89</v>
      </c>
      <c r="J16" s="29">
        <v>3557.91</v>
      </c>
      <c r="K16" s="29">
        <v>3733.49</v>
      </c>
      <c r="L16" s="29">
        <v>3161.73</v>
      </c>
      <c r="M16" s="29">
        <v>3326.09</v>
      </c>
      <c r="N16" s="29">
        <v>3457.96</v>
      </c>
      <c r="O16" s="29">
        <v>3345.83</v>
      </c>
      <c r="P16" s="29">
        <v>3330.83</v>
      </c>
      <c r="Q16" s="29">
        <v>3356.17</v>
      </c>
      <c r="R16" s="29">
        <v>3392.89</v>
      </c>
      <c r="S16" s="29">
        <v>3340.11</v>
      </c>
      <c r="T16" s="29">
        <v>3268.31</v>
      </c>
      <c r="U16" s="29">
        <v>3366.63</v>
      </c>
      <c r="V16" s="30">
        <v>3190.99</v>
      </c>
      <c r="X16" s="127"/>
      <c r="Y16" s="127"/>
      <c r="Z16" s="127"/>
      <c r="AA16" s="127"/>
      <c r="AB16" s="127"/>
      <c r="AC16" s="127"/>
      <c r="AD16" s="127"/>
      <c r="AE16" s="127"/>
      <c r="AF16" s="127"/>
      <c r="AG16" s="21"/>
    </row>
    <row r="17" spans="3:33">
      <c r="C17" s="11">
        <v>12</v>
      </c>
      <c r="D17" s="29">
        <v>3218.69</v>
      </c>
      <c r="E17" s="29">
        <v>3277.64</v>
      </c>
      <c r="F17" s="29">
        <v>3106.53</v>
      </c>
      <c r="G17" s="29">
        <v>3320.57</v>
      </c>
      <c r="H17" s="29">
        <v>3471.61</v>
      </c>
      <c r="I17" s="29">
        <v>3319.84</v>
      </c>
      <c r="J17" s="29">
        <v>3569.59</v>
      </c>
      <c r="K17" s="29">
        <v>3678.44</v>
      </c>
      <c r="L17" s="29">
        <v>3172.25</v>
      </c>
      <c r="M17" s="29">
        <v>3338.77</v>
      </c>
      <c r="N17" s="29">
        <v>3465.78</v>
      </c>
      <c r="O17" s="29">
        <v>3323.52</v>
      </c>
      <c r="P17" s="29">
        <v>3342.8</v>
      </c>
      <c r="Q17" s="29">
        <v>3362.81</v>
      </c>
      <c r="R17" s="29">
        <v>3397.45</v>
      </c>
      <c r="S17" s="29">
        <v>3349.07</v>
      </c>
      <c r="T17" s="29">
        <v>3275.38</v>
      </c>
      <c r="U17" s="29">
        <v>3378.93</v>
      </c>
      <c r="V17" s="30">
        <v>3197</v>
      </c>
      <c r="X17" s="127"/>
      <c r="Y17" s="127"/>
      <c r="Z17" s="127"/>
      <c r="AA17" s="127"/>
      <c r="AB17" s="127"/>
      <c r="AC17" s="127"/>
      <c r="AD17" s="127"/>
      <c r="AE17" s="127"/>
      <c r="AF17" s="127"/>
      <c r="AG17" s="21"/>
    </row>
    <row r="18" spans="3:33">
      <c r="C18" s="11">
        <v>13</v>
      </c>
      <c r="D18" s="29">
        <v>3245.09</v>
      </c>
      <c r="E18" s="29">
        <v>3308.27</v>
      </c>
      <c r="F18" s="29">
        <v>3085.64</v>
      </c>
      <c r="G18" s="29">
        <v>3352.09</v>
      </c>
      <c r="H18" s="29">
        <v>3503.58</v>
      </c>
      <c r="I18" s="29">
        <v>3353.14</v>
      </c>
      <c r="J18" s="29">
        <v>3605.55</v>
      </c>
      <c r="K18" s="29">
        <v>3624.84</v>
      </c>
      <c r="L18" s="29">
        <v>3201.19</v>
      </c>
      <c r="M18" s="29">
        <v>3368.7</v>
      </c>
      <c r="N18" s="29">
        <v>3499.38</v>
      </c>
      <c r="O18" s="29">
        <v>3309.83</v>
      </c>
      <c r="P18" s="29">
        <v>3373.5</v>
      </c>
      <c r="Q18" s="29">
        <v>3389.92</v>
      </c>
      <c r="R18" s="29">
        <v>3422.64</v>
      </c>
      <c r="S18" s="29">
        <v>3379.32</v>
      </c>
      <c r="T18" s="29">
        <v>3303.47</v>
      </c>
      <c r="U18" s="29">
        <v>3411.26</v>
      </c>
      <c r="V18" s="30">
        <v>3227.29</v>
      </c>
      <c r="X18" s="127"/>
      <c r="Y18" s="127"/>
      <c r="Z18" s="127"/>
      <c r="AA18" s="127"/>
      <c r="AB18" s="127"/>
      <c r="AC18" s="127"/>
      <c r="AD18" s="127"/>
      <c r="AE18" s="127"/>
      <c r="AF18" s="127"/>
      <c r="AG18" s="21"/>
    </row>
    <row r="19" spans="3:33">
      <c r="C19" s="11">
        <v>14</v>
      </c>
      <c r="D19" s="29">
        <v>3292.32</v>
      </c>
      <c r="E19" s="29">
        <v>3359.75</v>
      </c>
      <c r="F19" s="29">
        <v>3090.94</v>
      </c>
      <c r="G19" s="29">
        <v>3395.98</v>
      </c>
      <c r="H19" s="29">
        <v>3546.02</v>
      </c>
      <c r="I19" s="29">
        <v>3401.66</v>
      </c>
      <c r="J19" s="29">
        <v>3649.28</v>
      </c>
      <c r="K19" s="29">
        <v>3609.85</v>
      </c>
      <c r="L19" s="29">
        <v>3246.48</v>
      </c>
      <c r="M19" s="29">
        <v>3414.65</v>
      </c>
      <c r="N19" s="29">
        <v>3550.07</v>
      </c>
      <c r="O19" s="29">
        <v>3322.03</v>
      </c>
      <c r="P19" s="29">
        <v>3417.44</v>
      </c>
      <c r="Q19" s="29">
        <v>3436.07</v>
      </c>
      <c r="R19" s="29">
        <v>3469.16</v>
      </c>
      <c r="S19" s="29">
        <v>3424.74</v>
      </c>
      <c r="T19" s="29">
        <v>3350.66</v>
      </c>
      <c r="U19" s="29">
        <v>3455.11</v>
      </c>
      <c r="V19" s="30">
        <v>3275.16</v>
      </c>
      <c r="X19" s="127"/>
      <c r="Y19" s="127"/>
      <c r="Z19" s="127"/>
      <c r="AA19" s="127"/>
      <c r="AB19" s="127"/>
      <c r="AC19" s="127"/>
      <c r="AD19" s="127"/>
      <c r="AE19" s="127"/>
      <c r="AF19" s="127"/>
      <c r="AG19" s="21"/>
    </row>
    <row r="20" spans="3:33">
      <c r="C20" s="11">
        <v>15</v>
      </c>
      <c r="D20" s="29">
        <v>3340.47</v>
      </c>
      <c r="E20" s="29">
        <v>3404.63</v>
      </c>
      <c r="F20" s="29">
        <v>3121.71</v>
      </c>
      <c r="G20" s="29">
        <v>3438.13</v>
      </c>
      <c r="H20" s="29">
        <v>3589.28</v>
      </c>
      <c r="I20" s="29">
        <v>3447.29</v>
      </c>
      <c r="J20" s="29">
        <v>3688.94</v>
      </c>
      <c r="K20" s="29">
        <v>3631.11</v>
      </c>
      <c r="L20" s="29">
        <v>3283.3</v>
      </c>
      <c r="M20" s="29">
        <v>3455.65</v>
      </c>
      <c r="N20" s="29">
        <v>3598.55</v>
      </c>
      <c r="O20" s="29">
        <v>3360.55</v>
      </c>
      <c r="P20" s="29">
        <v>3458.7</v>
      </c>
      <c r="Q20" s="29">
        <v>3479.71</v>
      </c>
      <c r="R20" s="29">
        <v>3516.76</v>
      </c>
      <c r="S20" s="29">
        <v>3466.42</v>
      </c>
      <c r="T20" s="29">
        <v>3395.97</v>
      </c>
      <c r="U20" s="29">
        <v>3497.23</v>
      </c>
      <c r="V20" s="30">
        <v>3321.6</v>
      </c>
      <c r="X20" s="127"/>
      <c r="Y20" s="127"/>
      <c r="Z20" s="127"/>
      <c r="AA20" s="127"/>
      <c r="AB20" s="127"/>
      <c r="AC20" s="127"/>
      <c r="AD20" s="127"/>
      <c r="AE20" s="127"/>
      <c r="AF20" s="127"/>
      <c r="AG20" s="21"/>
    </row>
    <row r="21" spans="3:33">
      <c r="C21" s="11">
        <v>16</v>
      </c>
      <c r="D21" s="29">
        <v>3377.7</v>
      </c>
      <c r="E21" s="29">
        <v>3442.8</v>
      </c>
      <c r="F21" s="29">
        <v>3174.19</v>
      </c>
      <c r="G21" s="29">
        <v>3470.11</v>
      </c>
      <c r="H21" s="29">
        <v>3619.14</v>
      </c>
      <c r="I21" s="29">
        <v>3483.37</v>
      </c>
      <c r="J21" s="29">
        <v>3716.32</v>
      </c>
      <c r="K21" s="29">
        <v>3686.49</v>
      </c>
      <c r="L21" s="29">
        <v>3316.43</v>
      </c>
      <c r="M21" s="29">
        <v>3487.17</v>
      </c>
      <c r="N21" s="29">
        <v>3636.47</v>
      </c>
      <c r="O21" s="29">
        <v>3415.65</v>
      </c>
      <c r="P21" s="29">
        <v>3490.87</v>
      </c>
      <c r="Q21" s="29">
        <v>3513.43</v>
      </c>
      <c r="R21" s="29">
        <v>3554.58</v>
      </c>
      <c r="S21" s="29">
        <v>3500.23</v>
      </c>
      <c r="T21" s="29">
        <v>3431.93</v>
      </c>
      <c r="U21" s="29">
        <v>3532.55</v>
      </c>
      <c r="V21" s="30">
        <v>3358.89</v>
      </c>
      <c r="X21" s="127"/>
      <c r="Y21" s="127"/>
      <c r="Z21" s="127"/>
      <c r="AA21" s="127"/>
      <c r="AB21" s="127"/>
      <c r="AC21" s="127"/>
      <c r="AD21" s="127"/>
      <c r="AE21" s="127"/>
      <c r="AF21" s="127"/>
      <c r="AG21" s="21"/>
    </row>
    <row r="22" spans="3:33">
      <c r="C22" s="11">
        <v>17</v>
      </c>
      <c r="D22" s="29">
        <v>3403.33</v>
      </c>
      <c r="E22" s="29">
        <v>3466.25</v>
      </c>
      <c r="F22" s="29">
        <v>3235.95</v>
      </c>
      <c r="G22" s="29">
        <v>3490.89</v>
      </c>
      <c r="H22" s="29">
        <v>3638.9</v>
      </c>
      <c r="I22" s="29">
        <v>3505</v>
      </c>
      <c r="J22" s="29">
        <v>3730.07</v>
      </c>
      <c r="K22" s="29">
        <v>3752.66</v>
      </c>
      <c r="L22" s="29">
        <v>3336.37</v>
      </c>
      <c r="M22" s="29">
        <v>3506.55</v>
      </c>
      <c r="N22" s="29">
        <v>3659.77</v>
      </c>
      <c r="O22" s="29">
        <v>3468.52</v>
      </c>
      <c r="P22" s="29">
        <v>3511.94</v>
      </c>
      <c r="Q22" s="29">
        <v>3534.44</v>
      </c>
      <c r="R22" s="29">
        <v>3579.93</v>
      </c>
      <c r="S22" s="29">
        <v>3521.84</v>
      </c>
      <c r="T22" s="29">
        <v>3457.61</v>
      </c>
      <c r="U22" s="29">
        <v>3551.89</v>
      </c>
      <c r="V22" s="30">
        <v>3382.15</v>
      </c>
      <c r="X22" s="127"/>
      <c r="Y22" s="127"/>
      <c r="Z22" s="127"/>
      <c r="AA22" s="127"/>
      <c r="AB22" s="127"/>
      <c r="AC22" s="127"/>
      <c r="AD22" s="127"/>
      <c r="AE22" s="127"/>
      <c r="AF22" s="127"/>
      <c r="AG22" s="21"/>
    </row>
    <row r="23" spans="3:33">
      <c r="C23" s="11">
        <v>18</v>
      </c>
      <c r="D23" s="29">
        <v>3423.84</v>
      </c>
      <c r="E23" s="29">
        <v>3485.76</v>
      </c>
      <c r="F23" s="29">
        <v>3287.2</v>
      </c>
      <c r="G23" s="29">
        <v>3510.26</v>
      </c>
      <c r="H23" s="29">
        <v>3657.66</v>
      </c>
      <c r="I23" s="29">
        <v>3522.8</v>
      </c>
      <c r="J23" s="29">
        <v>3744.48</v>
      </c>
      <c r="K23" s="29">
        <v>3810.92</v>
      </c>
      <c r="L23" s="29">
        <v>3354.56</v>
      </c>
      <c r="M23" s="29">
        <v>3524.86</v>
      </c>
      <c r="N23" s="29">
        <v>3680.26</v>
      </c>
      <c r="O23" s="29">
        <v>3515.4</v>
      </c>
      <c r="P23" s="29">
        <v>3531.1</v>
      </c>
      <c r="Q23" s="29">
        <v>3551.92</v>
      </c>
      <c r="R23" s="29">
        <v>3600.47</v>
      </c>
      <c r="S23" s="29">
        <v>3540.89</v>
      </c>
      <c r="T23" s="29">
        <v>3477.88</v>
      </c>
      <c r="U23" s="29">
        <v>3570.83</v>
      </c>
      <c r="V23" s="30">
        <v>3402.55</v>
      </c>
      <c r="X23" s="127"/>
      <c r="Y23" s="127"/>
      <c r="Z23" s="127"/>
      <c r="AA23" s="127"/>
      <c r="AB23" s="127"/>
      <c r="AC23" s="127"/>
      <c r="AD23" s="127"/>
      <c r="AE23" s="127"/>
      <c r="AF23" s="127"/>
      <c r="AG23" s="21"/>
    </row>
    <row r="24" spans="3:33">
      <c r="C24" s="11">
        <v>19</v>
      </c>
      <c r="D24" s="29">
        <v>3424.32</v>
      </c>
      <c r="E24" s="29">
        <v>3484.87</v>
      </c>
      <c r="F24" s="29">
        <v>3309.92</v>
      </c>
      <c r="G24" s="29">
        <v>3507.28</v>
      </c>
      <c r="H24" s="29">
        <v>3654.69</v>
      </c>
      <c r="I24" s="29">
        <v>3521.71</v>
      </c>
      <c r="J24" s="29">
        <v>3744.31</v>
      </c>
      <c r="K24" s="29">
        <v>3842.05</v>
      </c>
      <c r="L24" s="29">
        <v>3351.3</v>
      </c>
      <c r="M24" s="29">
        <v>3521.54</v>
      </c>
      <c r="N24" s="29">
        <v>3677.56</v>
      </c>
      <c r="O24" s="29">
        <v>3532.31</v>
      </c>
      <c r="P24" s="29">
        <v>3527.14</v>
      </c>
      <c r="Q24" s="29">
        <v>3548.61</v>
      </c>
      <c r="R24" s="29">
        <v>3599.24</v>
      </c>
      <c r="S24" s="29">
        <v>3539.18</v>
      </c>
      <c r="T24" s="29">
        <v>3476.55</v>
      </c>
      <c r="U24" s="29">
        <v>3565.82</v>
      </c>
      <c r="V24" s="30">
        <v>3402.28</v>
      </c>
      <c r="X24" s="127"/>
      <c r="Y24" s="127"/>
      <c r="Z24" s="127"/>
      <c r="AA24" s="127"/>
      <c r="AB24" s="127"/>
      <c r="AC24" s="127"/>
      <c r="AD24" s="127"/>
      <c r="AE24" s="127"/>
      <c r="AF24" s="127"/>
      <c r="AG24" s="21"/>
    </row>
    <row r="25" spans="3:33">
      <c r="C25" s="11">
        <v>20</v>
      </c>
      <c r="D25" s="29">
        <v>3414.6</v>
      </c>
      <c r="E25" s="29">
        <v>3474.76</v>
      </c>
      <c r="F25" s="29">
        <v>3315.07</v>
      </c>
      <c r="G25" s="29">
        <v>3496.52</v>
      </c>
      <c r="H25" s="29">
        <v>3645.01</v>
      </c>
      <c r="I25" s="29">
        <v>3510.26</v>
      </c>
      <c r="J25" s="29">
        <v>3738.23</v>
      </c>
      <c r="K25" s="29">
        <v>3860.29</v>
      </c>
      <c r="L25" s="29">
        <v>3342.62</v>
      </c>
      <c r="M25" s="29">
        <v>3510.39</v>
      </c>
      <c r="N25" s="29">
        <v>3663.21</v>
      </c>
      <c r="O25" s="29">
        <v>3534.09</v>
      </c>
      <c r="P25" s="29">
        <v>3515.64</v>
      </c>
      <c r="Q25" s="29">
        <v>3538.49</v>
      </c>
      <c r="R25" s="29">
        <v>3589.44</v>
      </c>
      <c r="S25" s="29">
        <v>3528</v>
      </c>
      <c r="T25" s="29">
        <v>3463.97</v>
      </c>
      <c r="U25" s="29">
        <v>3553.61</v>
      </c>
      <c r="V25" s="30">
        <v>3392.99</v>
      </c>
      <c r="X25" s="127"/>
      <c r="Y25" s="127"/>
      <c r="Z25" s="127"/>
      <c r="AA25" s="127"/>
      <c r="AB25" s="127"/>
      <c r="AC25" s="127"/>
      <c r="AD25" s="127"/>
      <c r="AE25" s="127"/>
      <c r="AF25" s="127"/>
      <c r="AG25" s="21"/>
    </row>
    <row r="26" spans="3:33">
      <c r="C26" s="11">
        <v>21</v>
      </c>
      <c r="D26" s="29">
        <v>3397.83</v>
      </c>
      <c r="E26" s="29">
        <v>3457.06</v>
      </c>
      <c r="F26" s="29">
        <v>3306.97</v>
      </c>
      <c r="G26" s="29">
        <v>3477.91</v>
      </c>
      <c r="H26" s="29">
        <v>3627.76</v>
      </c>
      <c r="I26" s="29">
        <v>3491.54</v>
      </c>
      <c r="J26" s="29">
        <v>3727.89</v>
      </c>
      <c r="K26" s="29">
        <v>3867.73</v>
      </c>
      <c r="L26" s="29">
        <v>3326.73</v>
      </c>
      <c r="M26" s="29">
        <v>3492.17</v>
      </c>
      <c r="N26" s="29">
        <v>3643.14</v>
      </c>
      <c r="O26" s="29">
        <v>3522.73</v>
      </c>
      <c r="P26" s="29">
        <v>3497.14</v>
      </c>
      <c r="Q26" s="29">
        <v>3521.77</v>
      </c>
      <c r="R26" s="29">
        <v>3571.74</v>
      </c>
      <c r="S26" s="29">
        <v>3508.78</v>
      </c>
      <c r="T26" s="29">
        <v>3444.49</v>
      </c>
      <c r="U26" s="29">
        <v>3534.87</v>
      </c>
      <c r="V26" s="30">
        <v>3376.14</v>
      </c>
      <c r="X26" s="127"/>
      <c r="Y26" s="127"/>
      <c r="Z26" s="127"/>
      <c r="AA26" s="127"/>
      <c r="AB26" s="127"/>
      <c r="AC26" s="127"/>
      <c r="AD26" s="127"/>
      <c r="AE26" s="127"/>
      <c r="AF26" s="127"/>
      <c r="AG26" s="21"/>
    </row>
    <row r="27" spans="3:33">
      <c r="C27" s="11">
        <v>22</v>
      </c>
      <c r="D27" s="29">
        <v>3368.27</v>
      </c>
      <c r="E27" s="29">
        <v>3425.74</v>
      </c>
      <c r="F27" s="29">
        <v>3281.37</v>
      </c>
      <c r="G27" s="29">
        <v>3447.55</v>
      </c>
      <c r="H27" s="29">
        <v>3598.96</v>
      </c>
      <c r="I27" s="29">
        <v>3459.79</v>
      </c>
      <c r="J27" s="29">
        <v>3704.36</v>
      </c>
      <c r="K27" s="29">
        <v>3861.57</v>
      </c>
      <c r="L27" s="29">
        <v>3299.03</v>
      </c>
      <c r="M27" s="29">
        <v>3462.31</v>
      </c>
      <c r="N27" s="29">
        <v>3607.32</v>
      </c>
      <c r="O27" s="29">
        <v>3494.81</v>
      </c>
      <c r="P27" s="29">
        <v>3466.36</v>
      </c>
      <c r="Q27" s="29">
        <v>3493.15</v>
      </c>
      <c r="R27" s="29">
        <v>3539.38</v>
      </c>
      <c r="S27" s="29">
        <v>3476.34</v>
      </c>
      <c r="T27" s="29">
        <v>3411.63</v>
      </c>
      <c r="U27" s="29">
        <v>3501.3</v>
      </c>
      <c r="V27" s="30">
        <v>3346.24</v>
      </c>
      <c r="X27" s="127"/>
      <c r="Y27" s="127"/>
      <c r="Z27" s="127"/>
      <c r="AA27" s="127"/>
      <c r="AB27" s="127"/>
      <c r="AC27" s="127"/>
      <c r="AD27" s="127"/>
      <c r="AE27" s="127"/>
      <c r="AF27" s="127"/>
      <c r="AG27" s="21"/>
    </row>
    <row r="28" spans="3:33">
      <c r="C28" s="11">
        <v>23</v>
      </c>
      <c r="D28" s="29">
        <v>3339.15</v>
      </c>
      <c r="E28" s="29">
        <v>3396.55</v>
      </c>
      <c r="F28" s="29">
        <v>3254.03</v>
      </c>
      <c r="G28" s="29">
        <v>3420.79</v>
      </c>
      <c r="H28" s="29">
        <v>3572.18</v>
      </c>
      <c r="I28" s="29">
        <v>3427.1</v>
      </c>
      <c r="J28" s="29">
        <v>3680.93</v>
      </c>
      <c r="K28" s="29">
        <v>3854.8</v>
      </c>
      <c r="L28" s="29">
        <v>3273.4</v>
      </c>
      <c r="M28" s="29">
        <v>3436.12</v>
      </c>
      <c r="N28" s="29">
        <v>3576.91</v>
      </c>
      <c r="O28" s="29">
        <v>3468.4</v>
      </c>
      <c r="P28" s="29">
        <v>3439.32</v>
      </c>
      <c r="Q28" s="29">
        <v>3468.21</v>
      </c>
      <c r="R28" s="29">
        <v>3513.08</v>
      </c>
      <c r="S28" s="29">
        <v>3448.25</v>
      </c>
      <c r="T28" s="29">
        <v>3382.4</v>
      </c>
      <c r="U28" s="29">
        <v>3473.44</v>
      </c>
      <c r="V28" s="30">
        <v>3319.25</v>
      </c>
      <c r="X28" s="127"/>
      <c r="Y28" s="127"/>
      <c r="Z28" s="127"/>
      <c r="AA28" s="127"/>
      <c r="AB28" s="127"/>
      <c r="AC28" s="127"/>
      <c r="AD28" s="127"/>
      <c r="AE28" s="127"/>
      <c r="AF28" s="127"/>
      <c r="AG28" s="21"/>
    </row>
    <row r="29" spans="3:33">
      <c r="C29" s="11">
        <v>24</v>
      </c>
      <c r="D29" s="29">
        <v>3306.97</v>
      </c>
      <c r="E29" s="29">
        <v>3359.05</v>
      </c>
      <c r="F29" s="29">
        <v>3223.45</v>
      </c>
      <c r="G29" s="29">
        <v>3386.95</v>
      </c>
      <c r="H29" s="29">
        <v>3539</v>
      </c>
      <c r="I29" s="29">
        <v>3395.75</v>
      </c>
      <c r="J29" s="29">
        <v>3649.33</v>
      </c>
      <c r="K29" s="29">
        <v>3839.99</v>
      </c>
      <c r="L29" s="29">
        <v>3241.85</v>
      </c>
      <c r="M29" s="29">
        <v>3401.84</v>
      </c>
      <c r="N29" s="29">
        <v>3539.87</v>
      </c>
      <c r="O29" s="29">
        <v>3436.59</v>
      </c>
      <c r="P29" s="29">
        <v>3405.36</v>
      </c>
      <c r="Q29" s="29">
        <v>3436.39</v>
      </c>
      <c r="R29" s="29">
        <v>3480.02</v>
      </c>
      <c r="S29" s="29">
        <v>3415.34</v>
      </c>
      <c r="T29" s="29">
        <v>3347.96</v>
      </c>
      <c r="U29" s="29">
        <v>3440.28</v>
      </c>
      <c r="V29" s="30">
        <v>3285.55</v>
      </c>
      <c r="X29" s="127"/>
      <c r="Y29" s="127"/>
      <c r="Z29" s="127"/>
      <c r="AA29" s="127"/>
      <c r="AB29" s="127"/>
      <c r="AC29" s="127"/>
      <c r="AD29" s="127"/>
      <c r="AE29" s="127"/>
      <c r="AF29" s="127"/>
      <c r="AG29" s="21"/>
    </row>
    <row r="30" spans="3:33" ht="18" thickBot="1">
      <c r="C30" s="20">
        <v>25</v>
      </c>
      <c r="D30" s="29">
        <v>3274.68</v>
      </c>
      <c r="E30" s="29">
        <v>3325.59</v>
      </c>
      <c r="F30" s="29">
        <v>3194.84</v>
      </c>
      <c r="G30" s="29">
        <v>3357.43</v>
      </c>
      <c r="H30" s="29">
        <v>3509.46</v>
      </c>
      <c r="I30" s="29">
        <v>3363.69</v>
      </c>
      <c r="J30" s="29">
        <v>3615.85</v>
      </c>
      <c r="K30" s="29">
        <v>3819.54</v>
      </c>
      <c r="L30" s="29">
        <v>3210.36</v>
      </c>
      <c r="M30" s="29">
        <v>3373.47</v>
      </c>
      <c r="N30" s="29">
        <v>3505.76</v>
      </c>
      <c r="O30" s="29">
        <v>3407.95</v>
      </c>
      <c r="P30" s="29">
        <v>3374.22</v>
      </c>
      <c r="Q30" s="29">
        <v>3406.87</v>
      </c>
      <c r="R30" s="29">
        <v>3449.82</v>
      </c>
      <c r="S30" s="29">
        <v>3385.68</v>
      </c>
      <c r="T30" s="29">
        <v>3319</v>
      </c>
      <c r="U30" s="29">
        <v>3410.84</v>
      </c>
      <c r="V30" s="30">
        <v>3250.13</v>
      </c>
      <c r="X30" s="127"/>
      <c r="Y30" s="127"/>
      <c r="Z30" s="127"/>
      <c r="AA30" s="127"/>
      <c r="AB30" s="127"/>
      <c r="AC30" s="127"/>
      <c r="AD30" s="127"/>
      <c r="AE30" s="127"/>
      <c r="AF30" s="127"/>
      <c r="AG30" s="21"/>
    </row>
    <row r="31" spans="3:33">
      <c r="C31" s="18">
        <v>26</v>
      </c>
      <c r="D31" s="29">
        <v>3093.94</v>
      </c>
      <c r="E31" s="29">
        <v>3117.51</v>
      </c>
      <c r="F31" s="29">
        <v>3010.68</v>
      </c>
      <c r="G31" s="29">
        <v>3153.56</v>
      </c>
      <c r="H31" s="29">
        <v>3305.97</v>
      </c>
      <c r="I31" s="29">
        <v>3159.53</v>
      </c>
      <c r="J31" s="29">
        <v>3400.46</v>
      </c>
      <c r="K31" s="29">
        <v>3652.1</v>
      </c>
      <c r="L31" s="29">
        <v>3033.93</v>
      </c>
      <c r="M31" s="29">
        <v>3171.83</v>
      </c>
      <c r="N31" s="29">
        <v>3275.61</v>
      </c>
      <c r="O31" s="29">
        <v>3205.75</v>
      </c>
      <c r="P31" s="29">
        <v>3176.27</v>
      </c>
      <c r="Q31" s="29">
        <v>3216.14</v>
      </c>
      <c r="R31" s="29">
        <v>3242.16</v>
      </c>
      <c r="S31" s="29">
        <v>3187.36</v>
      </c>
      <c r="T31" s="29">
        <v>3124.84</v>
      </c>
      <c r="U31" s="29">
        <v>3180.46</v>
      </c>
      <c r="V31" s="30">
        <v>3068.15</v>
      </c>
      <c r="X31" s="127"/>
      <c r="Y31" s="127"/>
      <c r="Z31" s="127"/>
      <c r="AA31" s="127"/>
      <c r="AB31" s="127"/>
      <c r="AC31" s="127"/>
      <c r="AD31" s="127"/>
      <c r="AE31" s="127"/>
      <c r="AF31" s="127"/>
      <c r="AG31" s="21"/>
    </row>
    <row r="32" spans="3:33">
      <c r="C32" s="13">
        <v>27</v>
      </c>
      <c r="D32" s="29">
        <v>3068.16</v>
      </c>
      <c r="E32" s="29">
        <v>3091.89</v>
      </c>
      <c r="F32" s="29">
        <v>2986.05</v>
      </c>
      <c r="G32" s="29">
        <v>3133.81</v>
      </c>
      <c r="H32" s="29">
        <v>3283.68</v>
      </c>
      <c r="I32" s="29">
        <v>3137.87</v>
      </c>
      <c r="J32" s="29">
        <v>3371.91</v>
      </c>
      <c r="K32" s="29">
        <v>3613.6</v>
      </c>
      <c r="L32" s="29">
        <v>3011.98</v>
      </c>
      <c r="M32" s="29">
        <v>3150.63</v>
      </c>
      <c r="N32" s="29">
        <v>3252.3</v>
      </c>
      <c r="O32" s="29">
        <v>3180.56</v>
      </c>
      <c r="P32" s="29">
        <v>3156.23</v>
      </c>
      <c r="Q32" s="29">
        <v>3192.48</v>
      </c>
      <c r="R32" s="29">
        <v>3215.67</v>
      </c>
      <c r="S32" s="29">
        <v>3166.37</v>
      </c>
      <c r="T32" s="29">
        <v>3101.75</v>
      </c>
      <c r="U32" s="29">
        <v>3161.78</v>
      </c>
      <c r="V32" s="30">
        <v>3038.97</v>
      </c>
      <c r="X32" s="127"/>
      <c r="Y32" s="127"/>
      <c r="Z32" s="127"/>
      <c r="AA32" s="127"/>
      <c r="AB32" s="127"/>
      <c r="AC32" s="127"/>
      <c r="AD32" s="127"/>
      <c r="AE32" s="127"/>
      <c r="AF32" s="127"/>
      <c r="AG32" s="21"/>
    </row>
    <row r="33" spans="3:33">
      <c r="C33" s="13">
        <v>28</v>
      </c>
      <c r="D33" s="29">
        <v>3058.11</v>
      </c>
      <c r="E33" s="29">
        <v>3085.25</v>
      </c>
      <c r="F33" s="29">
        <v>2965.49</v>
      </c>
      <c r="G33" s="29">
        <v>3131.65</v>
      </c>
      <c r="H33" s="29">
        <v>3281.8</v>
      </c>
      <c r="I33" s="29">
        <v>3133.47</v>
      </c>
      <c r="J33" s="29">
        <v>3369.23</v>
      </c>
      <c r="K33" s="29">
        <v>3568.62</v>
      </c>
      <c r="L33" s="29">
        <v>3008.17</v>
      </c>
      <c r="M33" s="29">
        <v>3153.49</v>
      </c>
      <c r="N33" s="29">
        <v>3249.67</v>
      </c>
      <c r="O33" s="29">
        <v>3159.47</v>
      </c>
      <c r="P33" s="29">
        <v>3154.98</v>
      </c>
      <c r="Q33" s="29">
        <v>3184.77</v>
      </c>
      <c r="R33" s="29">
        <v>3206.29</v>
      </c>
      <c r="S33" s="29">
        <v>3161.41</v>
      </c>
      <c r="T33" s="29">
        <v>3094.89</v>
      </c>
      <c r="U33" s="29">
        <v>3159.13</v>
      </c>
      <c r="V33" s="30">
        <v>3028.65</v>
      </c>
      <c r="X33" s="127"/>
      <c r="Y33" s="127"/>
      <c r="Z33" s="127"/>
      <c r="AA33" s="127"/>
      <c r="AB33" s="127"/>
      <c r="AC33" s="127"/>
      <c r="AD33" s="127"/>
      <c r="AE33" s="127"/>
      <c r="AF33" s="127"/>
      <c r="AG33" s="21"/>
    </row>
    <row r="34" spans="3:33">
      <c r="C34" s="13">
        <v>29</v>
      </c>
      <c r="D34" s="29">
        <v>3067.06</v>
      </c>
      <c r="E34" s="29">
        <v>3098.72</v>
      </c>
      <c r="F34" s="29">
        <v>2947.61</v>
      </c>
      <c r="G34" s="29">
        <v>3149.41</v>
      </c>
      <c r="H34" s="29">
        <v>3300.91</v>
      </c>
      <c r="I34" s="29">
        <v>3148.4</v>
      </c>
      <c r="J34" s="29">
        <v>3389.8</v>
      </c>
      <c r="K34" s="29">
        <v>3517.27</v>
      </c>
      <c r="L34" s="29">
        <v>3024.24</v>
      </c>
      <c r="M34" s="29">
        <v>3170.89</v>
      </c>
      <c r="N34" s="29">
        <v>3267.9</v>
      </c>
      <c r="O34" s="29">
        <v>3142.7</v>
      </c>
      <c r="P34" s="29">
        <v>3173.19</v>
      </c>
      <c r="Q34" s="29">
        <v>3199.1</v>
      </c>
      <c r="R34" s="29">
        <v>3213.66</v>
      </c>
      <c r="S34" s="29">
        <v>3179.38</v>
      </c>
      <c r="T34" s="29">
        <v>3105.92</v>
      </c>
      <c r="U34" s="29">
        <v>3180.41</v>
      </c>
      <c r="V34" s="30">
        <v>3039.21</v>
      </c>
      <c r="X34" s="127"/>
      <c r="Y34" s="127"/>
      <c r="Z34" s="127"/>
      <c r="AA34" s="127"/>
      <c r="AB34" s="127"/>
      <c r="AC34" s="127"/>
      <c r="AD34" s="127"/>
      <c r="AE34" s="127"/>
      <c r="AF34" s="127"/>
      <c r="AG34" s="21"/>
    </row>
    <row r="35" spans="3:33">
      <c r="C35" s="13">
        <v>30</v>
      </c>
      <c r="D35" s="29">
        <v>3097.68</v>
      </c>
      <c r="E35" s="29">
        <v>3132.68</v>
      </c>
      <c r="F35" s="29">
        <v>2934.99</v>
      </c>
      <c r="G35" s="29">
        <v>3182.31</v>
      </c>
      <c r="H35" s="29">
        <v>3336.67</v>
      </c>
      <c r="I35" s="29">
        <v>3179.49</v>
      </c>
      <c r="J35" s="29">
        <v>3431.19</v>
      </c>
      <c r="K35" s="29">
        <v>3466.09</v>
      </c>
      <c r="L35" s="29">
        <v>3055.42</v>
      </c>
      <c r="M35" s="29">
        <v>3202.1</v>
      </c>
      <c r="N35" s="29">
        <v>3307.52</v>
      </c>
      <c r="O35" s="29">
        <v>3130.43</v>
      </c>
      <c r="P35" s="29">
        <v>3205.32</v>
      </c>
      <c r="Q35" s="29">
        <v>3229.93</v>
      </c>
      <c r="R35" s="29">
        <v>3241.29</v>
      </c>
      <c r="S35" s="29">
        <v>3210.97</v>
      </c>
      <c r="T35" s="29">
        <v>3136.83</v>
      </c>
      <c r="U35" s="29">
        <v>3210.64</v>
      </c>
      <c r="V35" s="30">
        <v>3071.17</v>
      </c>
      <c r="X35" s="127"/>
      <c r="Y35" s="127"/>
      <c r="Z35" s="127"/>
      <c r="AA35" s="127"/>
      <c r="AB35" s="127"/>
      <c r="AC35" s="127"/>
      <c r="AD35" s="127"/>
      <c r="AE35" s="127"/>
      <c r="AF35" s="127"/>
      <c r="AG35" s="21"/>
    </row>
    <row r="36" spans="3:33">
      <c r="C36" s="13">
        <v>31</v>
      </c>
      <c r="D36" s="29">
        <v>3139.97</v>
      </c>
      <c r="E36" s="29">
        <v>3175.81</v>
      </c>
      <c r="F36" s="29">
        <v>2921.53</v>
      </c>
      <c r="G36" s="29">
        <v>3224.34</v>
      </c>
      <c r="H36" s="29">
        <v>3378.64</v>
      </c>
      <c r="I36" s="29">
        <v>3222.88</v>
      </c>
      <c r="J36" s="29">
        <v>3474.58</v>
      </c>
      <c r="K36" s="29">
        <v>3435.27</v>
      </c>
      <c r="L36" s="29">
        <v>3097.2</v>
      </c>
      <c r="M36" s="29">
        <v>3242.81</v>
      </c>
      <c r="N36" s="29">
        <v>3349.61</v>
      </c>
      <c r="O36" s="29">
        <v>3127.68</v>
      </c>
      <c r="P36" s="29">
        <v>3248.67</v>
      </c>
      <c r="Q36" s="29">
        <v>3273.84</v>
      </c>
      <c r="R36" s="29">
        <v>3291.11</v>
      </c>
      <c r="S36" s="29">
        <v>3252.71</v>
      </c>
      <c r="T36" s="29">
        <v>3179.08</v>
      </c>
      <c r="U36" s="29">
        <v>3249.22</v>
      </c>
      <c r="V36" s="30">
        <v>3117.11</v>
      </c>
      <c r="X36" s="127"/>
      <c r="Y36" s="127"/>
      <c r="Z36" s="127"/>
      <c r="AA36" s="127"/>
      <c r="AB36" s="127"/>
      <c r="AC36" s="127"/>
      <c r="AD36" s="127"/>
      <c r="AE36" s="127"/>
      <c r="AF36" s="127"/>
      <c r="AG36" s="21"/>
    </row>
    <row r="37" spans="3:33">
      <c r="C37" s="13">
        <v>32</v>
      </c>
      <c r="D37" s="29">
        <v>3186.12</v>
      </c>
      <c r="E37" s="29">
        <v>3222.95</v>
      </c>
      <c r="F37" s="29">
        <v>2927.9</v>
      </c>
      <c r="G37" s="29">
        <v>3268.39</v>
      </c>
      <c r="H37" s="29">
        <v>3423.03</v>
      </c>
      <c r="I37" s="29">
        <v>3268.7</v>
      </c>
      <c r="J37" s="29">
        <v>3521.77</v>
      </c>
      <c r="K37" s="29">
        <v>3426.14</v>
      </c>
      <c r="L37" s="29">
        <v>3141.59</v>
      </c>
      <c r="M37" s="29">
        <v>3284.52</v>
      </c>
      <c r="N37" s="29">
        <v>3398.06</v>
      </c>
      <c r="O37" s="29">
        <v>3141.63</v>
      </c>
      <c r="P37" s="29">
        <v>3289.42</v>
      </c>
      <c r="Q37" s="29">
        <v>3319.49</v>
      </c>
      <c r="R37" s="29">
        <v>3329.7</v>
      </c>
      <c r="S37" s="29">
        <v>3295.15</v>
      </c>
      <c r="T37" s="29">
        <v>3224.1</v>
      </c>
      <c r="U37" s="29">
        <v>3292.39</v>
      </c>
      <c r="V37" s="30">
        <v>3164.96</v>
      </c>
      <c r="X37" s="127"/>
      <c r="Y37" s="127"/>
      <c r="Z37" s="127"/>
      <c r="AA37" s="127"/>
      <c r="AB37" s="127"/>
      <c r="AC37" s="127"/>
      <c r="AD37" s="127"/>
      <c r="AE37" s="127"/>
      <c r="AF37" s="127"/>
      <c r="AG37" s="21"/>
    </row>
    <row r="38" spans="3:33">
      <c r="C38" s="13">
        <v>33</v>
      </c>
      <c r="D38" s="29">
        <v>3232.34</v>
      </c>
      <c r="E38" s="29">
        <v>3265.95</v>
      </c>
      <c r="F38" s="29">
        <v>2954.78</v>
      </c>
      <c r="G38" s="29">
        <v>3304.65</v>
      </c>
      <c r="H38" s="29">
        <v>3458.14</v>
      </c>
      <c r="I38" s="29">
        <v>3320.98</v>
      </c>
      <c r="J38" s="29">
        <v>3560.25</v>
      </c>
      <c r="K38" s="29">
        <v>3445.57</v>
      </c>
      <c r="L38" s="29">
        <v>3177.94</v>
      </c>
      <c r="M38" s="29">
        <v>3323.03</v>
      </c>
      <c r="N38" s="29">
        <v>3442.99</v>
      </c>
      <c r="O38" s="29">
        <v>3174.23</v>
      </c>
      <c r="P38" s="29">
        <v>3327.64</v>
      </c>
      <c r="Q38" s="29">
        <v>3362.02</v>
      </c>
      <c r="R38" s="29">
        <v>3376.57</v>
      </c>
      <c r="S38" s="29">
        <v>3335.01</v>
      </c>
      <c r="T38" s="29">
        <v>3265.78</v>
      </c>
      <c r="U38" s="29">
        <v>3331.78</v>
      </c>
      <c r="V38" s="30">
        <v>3208.75</v>
      </c>
      <c r="X38" s="127"/>
      <c r="Y38" s="127"/>
      <c r="Z38" s="127"/>
      <c r="AA38" s="127"/>
      <c r="AB38" s="127"/>
      <c r="AC38" s="127"/>
      <c r="AD38" s="127"/>
      <c r="AE38" s="127"/>
      <c r="AF38" s="127"/>
    </row>
    <row r="39" spans="3:33">
      <c r="C39" s="13">
        <v>34</v>
      </c>
      <c r="D39" s="29">
        <v>3273.84</v>
      </c>
      <c r="E39" s="29">
        <v>3304.66</v>
      </c>
      <c r="F39" s="29">
        <v>3004.87</v>
      </c>
      <c r="G39" s="29">
        <v>3338.32</v>
      </c>
      <c r="H39" s="29">
        <v>3490.5</v>
      </c>
      <c r="I39" s="29">
        <v>3348.84</v>
      </c>
      <c r="J39" s="29">
        <v>3588.82</v>
      </c>
      <c r="K39" s="29">
        <v>3496.77</v>
      </c>
      <c r="L39" s="29">
        <v>3209.36</v>
      </c>
      <c r="M39" s="29">
        <v>3356.94</v>
      </c>
      <c r="N39" s="29">
        <v>3481.9</v>
      </c>
      <c r="O39" s="29">
        <v>3228.05</v>
      </c>
      <c r="P39" s="29">
        <v>3362.51</v>
      </c>
      <c r="Q39" s="29">
        <v>3398.29</v>
      </c>
      <c r="R39" s="29">
        <v>3419.01</v>
      </c>
      <c r="S39" s="29">
        <v>3369.11</v>
      </c>
      <c r="T39" s="29">
        <v>3303.68</v>
      </c>
      <c r="U39" s="29">
        <v>3365.68</v>
      </c>
      <c r="V39" s="30">
        <v>3245.74</v>
      </c>
      <c r="X39" s="127"/>
      <c r="Y39" s="127"/>
      <c r="Z39" s="127"/>
      <c r="AA39" s="127"/>
      <c r="AB39" s="127"/>
      <c r="AC39" s="127"/>
      <c r="AD39" s="127"/>
      <c r="AE39" s="127"/>
      <c r="AF39" s="127"/>
    </row>
    <row r="40" spans="3:33">
      <c r="C40" s="13">
        <v>35</v>
      </c>
      <c r="D40" s="29">
        <v>3303.95</v>
      </c>
      <c r="E40" s="29">
        <v>3334.33</v>
      </c>
      <c r="F40" s="29">
        <v>3053.23</v>
      </c>
      <c r="G40" s="29">
        <v>3364.79</v>
      </c>
      <c r="H40" s="29">
        <v>3517.95</v>
      </c>
      <c r="I40" s="29">
        <v>3379.02</v>
      </c>
      <c r="J40" s="29">
        <v>3610.5</v>
      </c>
      <c r="K40" s="29">
        <v>3552.84</v>
      </c>
      <c r="L40" s="29">
        <v>3232.41</v>
      </c>
      <c r="M40" s="29">
        <v>3382.88</v>
      </c>
      <c r="N40" s="29">
        <v>3513.45</v>
      </c>
      <c r="O40" s="29">
        <v>3281.83</v>
      </c>
      <c r="P40" s="29">
        <v>3391.04</v>
      </c>
      <c r="Q40" s="29">
        <v>3424.97</v>
      </c>
      <c r="R40" s="29">
        <v>3450.51</v>
      </c>
      <c r="S40" s="29">
        <v>3397.14</v>
      </c>
      <c r="T40" s="29">
        <v>3332.87</v>
      </c>
      <c r="U40" s="29">
        <v>3394.99</v>
      </c>
      <c r="V40" s="30">
        <v>3277.9</v>
      </c>
    </row>
    <row r="41" spans="3:33">
      <c r="C41" s="13">
        <v>36</v>
      </c>
      <c r="D41" s="29">
        <v>3330.18</v>
      </c>
      <c r="E41" s="29">
        <v>3361.15</v>
      </c>
      <c r="F41" s="29">
        <v>3112.57</v>
      </c>
      <c r="G41" s="29">
        <v>3401.69</v>
      </c>
      <c r="H41" s="29">
        <v>3539.59</v>
      </c>
      <c r="I41" s="29">
        <v>3405.5</v>
      </c>
      <c r="J41" s="29">
        <v>3629.38</v>
      </c>
      <c r="K41" s="29">
        <v>3620.73</v>
      </c>
      <c r="L41" s="29">
        <v>3255.54</v>
      </c>
      <c r="M41" s="29">
        <v>3407.26</v>
      </c>
      <c r="N41" s="29">
        <v>3542.89</v>
      </c>
      <c r="O41" s="29">
        <v>3340.23</v>
      </c>
      <c r="P41" s="29">
        <v>3413.57</v>
      </c>
      <c r="Q41" s="29">
        <v>3446.71</v>
      </c>
      <c r="R41" s="29">
        <v>3479.88</v>
      </c>
      <c r="S41" s="29">
        <v>3421.75</v>
      </c>
      <c r="T41" s="29">
        <v>3359.09</v>
      </c>
      <c r="U41" s="29">
        <v>3424.73</v>
      </c>
      <c r="V41" s="30">
        <v>3302.89</v>
      </c>
    </row>
    <row r="42" spans="3:33">
      <c r="C42" s="13">
        <v>37</v>
      </c>
      <c r="D42" s="29">
        <v>3348.77</v>
      </c>
      <c r="E42" s="29">
        <v>3381.53</v>
      </c>
      <c r="F42" s="29">
        <v>3166.15</v>
      </c>
      <c r="G42" s="29">
        <v>3407.31</v>
      </c>
      <c r="H42" s="29">
        <v>3557.99</v>
      </c>
      <c r="I42" s="29">
        <v>3424.6</v>
      </c>
      <c r="J42" s="29">
        <v>3644.41</v>
      </c>
      <c r="K42" s="29">
        <v>3675.83</v>
      </c>
      <c r="L42" s="29">
        <v>3272.02</v>
      </c>
      <c r="M42" s="29">
        <v>3425.71</v>
      </c>
      <c r="N42" s="29">
        <v>3563.54</v>
      </c>
      <c r="O42" s="29">
        <v>3390.07</v>
      </c>
      <c r="P42" s="29">
        <v>3432.55</v>
      </c>
      <c r="Q42" s="29">
        <v>3463.18</v>
      </c>
      <c r="R42" s="29">
        <v>3500.47</v>
      </c>
      <c r="S42" s="29">
        <v>3442.33</v>
      </c>
      <c r="T42" s="29">
        <v>3383.45</v>
      </c>
      <c r="U42" s="29">
        <v>3442.61</v>
      </c>
      <c r="V42" s="30">
        <v>3322.07</v>
      </c>
      <c r="X42" t="s">
        <v>13</v>
      </c>
    </row>
    <row r="43" spans="3:33">
      <c r="C43" s="13">
        <v>38</v>
      </c>
      <c r="D43" s="29">
        <v>3362.44</v>
      </c>
      <c r="E43" s="29">
        <v>3393.41</v>
      </c>
      <c r="F43" s="29">
        <v>3201.54</v>
      </c>
      <c r="G43" s="29">
        <v>3419.36</v>
      </c>
      <c r="H43" s="29">
        <v>3569.44</v>
      </c>
      <c r="I43" s="29">
        <v>3437.04</v>
      </c>
      <c r="J43" s="29">
        <v>3652.91</v>
      </c>
      <c r="K43" s="29">
        <v>3714.28</v>
      </c>
      <c r="L43" s="29">
        <v>3283.09</v>
      </c>
      <c r="M43" s="29">
        <v>3438.81</v>
      </c>
      <c r="N43" s="29">
        <v>3577.6</v>
      </c>
      <c r="O43" s="29">
        <v>3419.99</v>
      </c>
      <c r="P43" s="29">
        <v>3444.14</v>
      </c>
      <c r="Q43" s="29">
        <v>3475.8</v>
      </c>
      <c r="R43" s="29">
        <v>3512.09</v>
      </c>
      <c r="S43" s="29">
        <v>3455.03</v>
      </c>
      <c r="T43" s="29">
        <v>3395.5</v>
      </c>
      <c r="U43" s="29">
        <v>3453.4</v>
      </c>
      <c r="V43" s="30">
        <v>3333.56</v>
      </c>
      <c r="Y43" s="23"/>
    </row>
    <row r="44" spans="3:33">
      <c r="C44" s="13">
        <v>39</v>
      </c>
      <c r="D44" s="29">
        <v>3371.84</v>
      </c>
      <c r="E44" s="29">
        <v>3405.6</v>
      </c>
      <c r="F44" s="29">
        <v>3230.07</v>
      </c>
      <c r="G44" s="29">
        <v>3429.51</v>
      </c>
      <c r="H44" s="29">
        <v>3581.11</v>
      </c>
      <c r="I44" s="29">
        <v>3447.86</v>
      </c>
      <c r="J44" s="29">
        <v>3663.5</v>
      </c>
      <c r="K44" s="29">
        <v>3749.3</v>
      </c>
      <c r="L44" s="29">
        <v>3293.75</v>
      </c>
      <c r="M44" s="29">
        <v>3449.2</v>
      </c>
      <c r="N44" s="29">
        <v>3588.85</v>
      </c>
      <c r="O44" s="29">
        <v>3447.61</v>
      </c>
      <c r="P44" s="29">
        <v>3455.27</v>
      </c>
      <c r="Q44" s="29">
        <v>3484.92</v>
      </c>
      <c r="R44" s="29">
        <v>3524.72</v>
      </c>
      <c r="S44" s="29">
        <v>3467.74</v>
      </c>
      <c r="T44" s="29">
        <v>3408.72</v>
      </c>
      <c r="U44" s="29">
        <v>3463.45</v>
      </c>
      <c r="V44" s="30">
        <v>3345.34</v>
      </c>
      <c r="Y44" s="23"/>
    </row>
    <row r="45" spans="3:33">
      <c r="C45" s="13">
        <v>40</v>
      </c>
      <c r="D45" s="29">
        <v>3356.73</v>
      </c>
      <c r="E45" s="29">
        <v>3389.98</v>
      </c>
      <c r="F45" s="29">
        <v>3226.67</v>
      </c>
      <c r="G45" s="29">
        <v>3410.85</v>
      </c>
      <c r="H45" s="29">
        <v>3563.62</v>
      </c>
      <c r="I45" s="29">
        <v>3428</v>
      </c>
      <c r="J45" s="29">
        <v>3653.05</v>
      </c>
      <c r="K45" s="29">
        <v>3754.64</v>
      </c>
      <c r="L45" s="29">
        <v>3276.93</v>
      </c>
      <c r="M45" s="29">
        <v>3428.91</v>
      </c>
      <c r="N45" s="29">
        <v>3573.15</v>
      </c>
      <c r="O45" s="29">
        <v>3441.15</v>
      </c>
      <c r="P45" s="29">
        <v>3435.81</v>
      </c>
      <c r="Q45" s="29">
        <v>3465.44</v>
      </c>
      <c r="R45" s="29">
        <v>3507.75</v>
      </c>
      <c r="S45" s="29">
        <v>3450.4</v>
      </c>
      <c r="T45" s="29">
        <v>3392.56</v>
      </c>
      <c r="U45" s="29">
        <v>3445.39</v>
      </c>
      <c r="V45" s="30">
        <v>3329.53</v>
      </c>
      <c r="Y45" s="23"/>
    </row>
    <row r="46" spans="3:33">
      <c r="C46" s="13">
        <v>41</v>
      </c>
      <c r="D46" s="29">
        <v>3346.88</v>
      </c>
      <c r="E46" s="29">
        <v>3379.93</v>
      </c>
      <c r="F46" s="29">
        <v>3223.46</v>
      </c>
      <c r="G46" s="29">
        <v>3398.46</v>
      </c>
      <c r="H46" s="29">
        <v>3553.62</v>
      </c>
      <c r="I46" s="29">
        <v>3416.29</v>
      </c>
      <c r="J46" s="29">
        <v>3647.65</v>
      </c>
      <c r="K46" s="29">
        <v>3765.46</v>
      </c>
      <c r="L46" s="29">
        <v>3266.96</v>
      </c>
      <c r="M46" s="29">
        <v>3416.12</v>
      </c>
      <c r="N46" s="29">
        <v>3558.91</v>
      </c>
      <c r="O46" s="29">
        <v>3437.85</v>
      </c>
      <c r="P46" s="29">
        <v>3425.69</v>
      </c>
      <c r="Q46" s="29">
        <v>3453.64</v>
      </c>
      <c r="R46" s="29">
        <v>3497.42</v>
      </c>
      <c r="S46" s="29">
        <v>3437.64</v>
      </c>
      <c r="T46" s="29">
        <v>3382.42</v>
      </c>
      <c r="U46" s="29">
        <v>3433.12</v>
      </c>
      <c r="V46" s="30">
        <v>3318.95</v>
      </c>
      <c r="Y46" s="23"/>
    </row>
    <row r="47" spans="3:33">
      <c r="C47" s="13">
        <v>42</v>
      </c>
      <c r="D47" s="29">
        <v>3337.32</v>
      </c>
      <c r="E47" s="29">
        <v>3368.51</v>
      </c>
      <c r="F47" s="29">
        <v>3216.54</v>
      </c>
      <c r="G47" s="29">
        <v>3388.21</v>
      </c>
      <c r="H47" s="29">
        <v>3544.03</v>
      </c>
      <c r="I47" s="29">
        <v>3404.78</v>
      </c>
      <c r="J47" s="29">
        <v>3639.71</v>
      </c>
      <c r="K47" s="29">
        <v>3773.31</v>
      </c>
      <c r="L47" s="29">
        <v>3259.03</v>
      </c>
      <c r="M47" s="29">
        <v>3405.41</v>
      </c>
      <c r="N47" s="29">
        <v>3543.55</v>
      </c>
      <c r="O47" s="29">
        <v>3429.86</v>
      </c>
      <c r="P47" s="29">
        <v>3414.13</v>
      </c>
      <c r="Q47" s="29">
        <v>3445.62</v>
      </c>
      <c r="R47" s="29">
        <v>3486.02</v>
      </c>
      <c r="S47" s="29">
        <v>3427.37</v>
      </c>
      <c r="T47" s="29">
        <v>3367.44</v>
      </c>
      <c r="U47" s="29">
        <v>3420.43</v>
      </c>
      <c r="V47" s="30">
        <v>3309.69</v>
      </c>
      <c r="Y47" s="23"/>
    </row>
    <row r="48" spans="3:33">
      <c r="C48" s="13">
        <v>43</v>
      </c>
      <c r="D48" s="29">
        <v>3311.17</v>
      </c>
      <c r="E48" s="29">
        <v>3343.47</v>
      </c>
      <c r="F48" s="29">
        <v>3192.42</v>
      </c>
      <c r="G48" s="29">
        <v>3362.02</v>
      </c>
      <c r="H48" s="29">
        <v>3520.37</v>
      </c>
      <c r="I48" s="29">
        <v>3378</v>
      </c>
      <c r="J48" s="29">
        <v>3620.14</v>
      </c>
      <c r="K48" s="29">
        <v>3771.32</v>
      </c>
      <c r="L48" s="29">
        <v>3236.33</v>
      </c>
      <c r="M48" s="29">
        <v>3379.71</v>
      </c>
      <c r="N48" s="29">
        <v>3512.92</v>
      </c>
      <c r="O48" s="29">
        <v>3408.23</v>
      </c>
      <c r="P48" s="29">
        <v>3386.5</v>
      </c>
      <c r="Q48" s="29">
        <v>3422.24</v>
      </c>
      <c r="R48" s="29">
        <v>3459.16</v>
      </c>
      <c r="S48" s="29">
        <v>3399.68</v>
      </c>
      <c r="T48" s="29">
        <v>3338.56</v>
      </c>
      <c r="U48" s="29">
        <v>3391.2</v>
      </c>
      <c r="V48" s="30">
        <v>3285.98</v>
      </c>
      <c r="Y48" s="23"/>
    </row>
    <row r="49" spans="2:26">
      <c r="C49" s="13">
        <v>44</v>
      </c>
      <c r="D49" s="29">
        <v>3284.09</v>
      </c>
      <c r="E49" s="29">
        <v>3310.66</v>
      </c>
      <c r="F49" s="29">
        <v>3168.78</v>
      </c>
      <c r="G49" s="29">
        <v>3334.22</v>
      </c>
      <c r="H49" s="29">
        <v>3491.78</v>
      </c>
      <c r="I49" s="29">
        <v>3346.81</v>
      </c>
      <c r="J49" s="29">
        <v>3598.14</v>
      </c>
      <c r="K49" s="29">
        <v>3761.6</v>
      </c>
      <c r="L49" s="29">
        <v>3211.2</v>
      </c>
      <c r="M49" s="29">
        <v>3351.52</v>
      </c>
      <c r="N49" s="29">
        <v>3480.3</v>
      </c>
      <c r="O49" s="29">
        <v>3379.8</v>
      </c>
      <c r="P49" s="29">
        <v>3357.48</v>
      </c>
      <c r="Q49" s="29">
        <v>3395.55</v>
      </c>
      <c r="R49" s="29">
        <v>3430.18</v>
      </c>
      <c r="S49" s="29">
        <v>3381.53</v>
      </c>
      <c r="T49" s="29">
        <v>3306.78</v>
      </c>
      <c r="U49" s="29">
        <v>3362.9</v>
      </c>
      <c r="V49" s="30">
        <v>3258.19</v>
      </c>
      <c r="Y49" s="23"/>
    </row>
    <row r="50" spans="2:26">
      <c r="C50" s="13">
        <v>45</v>
      </c>
      <c r="D50" s="29">
        <v>3252.91</v>
      </c>
      <c r="E50" s="29">
        <v>3278.16</v>
      </c>
      <c r="F50" s="29">
        <v>3137.77</v>
      </c>
      <c r="G50" s="29">
        <v>3300.33</v>
      </c>
      <c r="H50" s="29">
        <v>3461.25</v>
      </c>
      <c r="I50" s="29">
        <v>3316.65</v>
      </c>
      <c r="J50" s="29">
        <v>3568.81</v>
      </c>
      <c r="K50" s="29">
        <v>3749.64</v>
      </c>
      <c r="L50" s="29">
        <v>3181.17</v>
      </c>
      <c r="M50" s="29">
        <v>3321.44</v>
      </c>
      <c r="N50" s="29">
        <v>3446.24</v>
      </c>
      <c r="O50" s="29">
        <v>3346.54</v>
      </c>
      <c r="P50" s="29">
        <v>3323.29</v>
      </c>
      <c r="Q50" s="29">
        <v>3364.61</v>
      </c>
      <c r="R50" s="29">
        <v>3397.01</v>
      </c>
      <c r="S50" s="29">
        <v>3343.98</v>
      </c>
      <c r="T50" s="29">
        <v>3274.31</v>
      </c>
      <c r="U50" s="29">
        <v>3330.41</v>
      </c>
      <c r="V50" s="30">
        <v>3228.3</v>
      </c>
    </row>
    <row r="51" spans="2:26">
      <c r="C51" s="13">
        <v>46</v>
      </c>
      <c r="D51" s="29">
        <v>3224.03</v>
      </c>
      <c r="E51" s="29">
        <v>3243.73</v>
      </c>
      <c r="F51" s="29">
        <v>3115.35</v>
      </c>
      <c r="G51" s="29">
        <v>3268.67</v>
      </c>
      <c r="H51" s="29">
        <v>3428.51</v>
      </c>
      <c r="I51" s="29">
        <v>3280.12</v>
      </c>
      <c r="J51" s="29">
        <v>3538.99</v>
      </c>
      <c r="K51" s="29">
        <v>3733.93</v>
      </c>
      <c r="L51" s="29">
        <v>3151.87</v>
      </c>
      <c r="M51" s="29">
        <v>3290.21</v>
      </c>
      <c r="N51" s="29">
        <v>3412.89</v>
      </c>
      <c r="O51" s="29">
        <v>3316.78</v>
      </c>
      <c r="P51" s="29">
        <v>3290.22</v>
      </c>
      <c r="Q51" s="29">
        <v>3334.73</v>
      </c>
      <c r="R51" s="29">
        <v>3363.63</v>
      </c>
      <c r="S51" s="29">
        <v>3310.36</v>
      </c>
      <c r="T51" s="29">
        <v>3242.79</v>
      </c>
      <c r="U51" s="29">
        <v>3299.54</v>
      </c>
      <c r="V51" s="30">
        <v>3197.53</v>
      </c>
    </row>
    <row r="52" spans="2:26">
      <c r="C52" s="13">
        <v>47</v>
      </c>
      <c r="D52" s="29">
        <v>3198.82</v>
      </c>
      <c r="E52" s="29">
        <v>3213.78</v>
      </c>
      <c r="F52" s="29">
        <v>3088.62</v>
      </c>
      <c r="G52" s="29">
        <v>3239.36</v>
      </c>
      <c r="H52" s="29">
        <v>3399.8</v>
      </c>
      <c r="I52" s="29">
        <v>3252.6</v>
      </c>
      <c r="J52" s="29">
        <v>3510.92</v>
      </c>
      <c r="K52" s="29">
        <v>3721.99</v>
      </c>
      <c r="L52" s="29">
        <v>3124.84</v>
      </c>
      <c r="M52" s="29">
        <v>3264.54</v>
      </c>
      <c r="N52" s="29">
        <v>3380.91</v>
      </c>
      <c r="O52" s="29">
        <v>3289.67</v>
      </c>
      <c r="P52" s="29">
        <v>3261.35</v>
      </c>
      <c r="Q52" s="29">
        <v>3308.35</v>
      </c>
      <c r="R52" s="29">
        <v>3337.87</v>
      </c>
      <c r="S52" s="29">
        <v>3278.33</v>
      </c>
      <c r="T52" s="29">
        <v>3215.58</v>
      </c>
      <c r="U52" s="29">
        <v>3258.27</v>
      </c>
      <c r="V52" s="30">
        <v>3169.48</v>
      </c>
    </row>
    <row r="53" spans="2:26">
      <c r="C53" s="13">
        <v>48</v>
      </c>
      <c r="D53" s="29">
        <v>3170.11</v>
      </c>
      <c r="E53" s="29">
        <v>3181.63</v>
      </c>
      <c r="F53" s="29">
        <v>3059.98</v>
      </c>
      <c r="G53" s="29">
        <v>3210.65</v>
      </c>
      <c r="H53" s="29">
        <v>3372.09</v>
      </c>
      <c r="I53" s="29">
        <v>3225.16</v>
      </c>
      <c r="J53" s="29">
        <v>3473.26</v>
      </c>
      <c r="K53" s="29">
        <v>3705.65</v>
      </c>
      <c r="L53" s="29">
        <v>3095.51</v>
      </c>
      <c r="M53" s="29">
        <v>3232.91</v>
      </c>
      <c r="N53" s="29">
        <v>3351.03</v>
      </c>
      <c r="O53" s="29">
        <v>3265.51</v>
      </c>
      <c r="P53" s="29">
        <v>3230.99</v>
      </c>
      <c r="Q53" s="29">
        <v>3279.26</v>
      </c>
      <c r="R53" s="29">
        <v>3308</v>
      </c>
      <c r="S53" s="29">
        <v>3244.76</v>
      </c>
      <c r="T53" s="29">
        <v>3188.2</v>
      </c>
      <c r="U53" s="29">
        <v>3231.54</v>
      </c>
      <c r="V53" s="30">
        <v>3138.32</v>
      </c>
    </row>
    <row r="54" spans="2:26" ht="18" thickBot="1">
      <c r="C54" s="14">
        <v>49</v>
      </c>
      <c r="D54" s="29">
        <v>3133.08</v>
      </c>
      <c r="E54" s="29">
        <v>3146.79</v>
      </c>
      <c r="F54" s="29">
        <v>3034.23</v>
      </c>
      <c r="G54" s="29">
        <v>3180.18</v>
      </c>
      <c r="H54" s="29">
        <v>3333.04</v>
      </c>
      <c r="I54" s="29">
        <v>3189.64</v>
      </c>
      <c r="J54" s="29">
        <v>3436.51</v>
      </c>
      <c r="K54" s="29">
        <v>3677.23</v>
      </c>
      <c r="L54" s="29">
        <v>3065.27</v>
      </c>
      <c r="M54" s="29">
        <v>3203.45</v>
      </c>
      <c r="N54" s="29">
        <v>3311.51</v>
      </c>
      <c r="O54" s="29">
        <v>3235.59</v>
      </c>
      <c r="P54" s="29">
        <v>3200.61</v>
      </c>
      <c r="Q54" s="29">
        <v>3247.53</v>
      </c>
      <c r="R54" s="29">
        <v>3274.3</v>
      </c>
      <c r="S54" s="29">
        <v>3215.11</v>
      </c>
      <c r="T54" s="29">
        <v>3158.48</v>
      </c>
      <c r="U54" s="29">
        <v>3204.33</v>
      </c>
      <c r="V54" s="30">
        <v>3104.27</v>
      </c>
    </row>
    <row r="55" spans="2:26">
      <c r="C55" s="5" t="s">
        <v>3</v>
      </c>
      <c r="D55" s="6">
        <f>AVERAGE(D6:D54)</f>
        <v>3282.6626530612239</v>
      </c>
      <c r="E55" s="6">
        <f t="shared" ref="E55:V55" si="0">AVERAGE(E6:E54)</f>
        <v>3327.2769387755102</v>
      </c>
      <c r="F55" s="6">
        <f t="shared" si="0"/>
        <v>3145.4934693877549</v>
      </c>
      <c r="G55" s="6">
        <f t="shared" si="0"/>
        <v>3357.9459183673453</v>
      </c>
      <c r="H55" s="6">
        <f t="shared" si="0"/>
        <v>3509.9308163265296</v>
      </c>
      <c r="I55" s="6">
        <f t="shared" si="0"/>
        <v>3367.9642857142858</v>
      </c>
      <c r="J55" s="6">
        <f t="shared" si="0"/>
        <v>3607.3010204081638</v>
      </c>
      <c r="K55" s="6">
        <f t="shared" si="0"/>
        <v>3705.5000000000005</v>
      </c>
      <c r="L55" s="6">
        <f t="shared" si="0"/>
        <v>3219.0679591836733</v>
      </c>
      <c r="M55" s="6">
        <f t="shared" si="0"/>
        <v>3375.5532653061227</v>
      </c>
      <c r="N55" s="6">
        <f t="shared" si="0"/>
        <v>3508.4518367346936</v>
      </c>
      <c r="O55" s="6">
        <f t="shared" si="0"/>
        <v>3361.5836734693871</v>
      </c>
      <c r="P55" s="6">
        <f t="shared" si="0"/>
        <v>3379.7451020408166</v>
      </c>
      <c r="Q55" s="6">
        <f t="shared" si="0"/>
        <v>3408.1048979591837</v>
      </c>
      <c r="R55" s="6">
        <f t="shared" si="0"/>
        <v>3444.7877551020415</v>
      </c>
      <c r="S55" s="6">
        <f t="shared" si="0"/>
        <v>3390.2620408163257</v>
      </c>
      <c r="T55" s="6">
        <f t="shared" si="0"/>
        <v>3324.3316326530617</v>
      </c>
      <c r="U55" s="6">
        <f t="shared" si="0"/>
        <v>3401.8393877551025</v>
      </c>
      <c r="V55" s="7">
        <f t="shared" si="0"/>
        <v>3259.0153061224496</v>
      </c>
      <c r="W55" s="40"/>
      <c r="X55" s="40"/>
      <c r="Z55" s="22"/>
    </row>
    <row r="56" spans="2:26">
      <c r="C56" s="1" t="s">
        <v>1</v>
      </c>
      <c r="D56" s="2">
        <f>MAX(D6:D54)</f>
        <v>3424.32</v>
      </c>
      <c r="E56" s="2">
        <f t="shared" ref="E56:V56" si="1">MAX(E6:E54)</f>
        <v>3485.76</v>
      </c>
      <c r="F56" s="2">
        <f t="shared" si="1"/>
        <v>3315.07</v>
      </c>
      <c r="G56" s="2">
        <f t="shared" si="1"/>
        <v>3510.26</v>
      </c>
      <c r="H56" s="2">
        <f t="shared" si="1"/>
        <v>3657.66</v>
      </c>
      <c r="I56" s="2">
        <f t="shared" si="1"/>
        <v>3522.8</v>
      </c>
      <c r="J56" s="2">
        <f t="shared" si="1"/>
        <v>3744.48</v>
      </c>
      <c r="K56" s="2">
        <f t="shared" si="1"/>
        <v>3867.73</v>
      </c>
      <c r="L56" s="2">
        <f t="shared" si="1"/>
        <v>3354.56</v>
      </c>
      <c r="M56" s="2">
        <f t="shared" si="1"/>
        <v>3524.86</v>
      </c>
      <c r="N56" s="2">
        <f t="shared" si="1"/>
        <v>3680.26</v>
      </c>
      <c r="O56" s="2">
        <f t="shared" si="1"/>
        <v>3534.09</v>
      </c>
      <c r="P56" s="2">
        <f t="shared" si="1"/>
        <v>3531.1</v>
      </c>
      <c r="Q56" s="2">
        <f t="shared" si="1"/>
        <v>3551.92</v>
      </c>
      <c r="R56" s="2">
        <f t="shared" si="1"/>
        <v>3600.47</v>
      </c>
      <c r="S56" s="2">
        <f t="shared" si="1"/>
        <v>3540.89</v>
      </c>
      <c r="T56" s="2">
        <f t="shared" si="1"/>
        <v>3477.88</v>
      </c>
      <c r="U56" s="2">
        <f t="shared" si="1"/>
        <v>3570.83</v>
      </c>
      <c r="V56" s="3">
        <f t="shared" si="1"/>
        <v>3402.55</v>
      </c>
      <c r="W56" s="41"/>
      <c r="X56" s="41"/>
    </row>
    <row r="57" spans="2:26" ht="18" thickBot="1">
      <c r="C57" s="8" t="s">
        <v>2</v>
      </c>
      <c r="D57" s="9">
        <f>MIN(D6:D54)</f>
        <v>3058.11</v>
      </c>
      <c r="E57" s="9">
        <f t="shared" ref="E57:V57" si="2">MIN(E6:E54)</f>
        <v>3085.25</v>
      </c>
      <c r="F57" s="9">
        <f t="shared" si="2"/>
        <v>2921.53</v>
      </c>
      <c r="G57" s="9">
        <f t="shared" si="2"/>
        <v>3131.65</v>
      </c>
      <c r="H57" s="9">
        <f t="shared" si="2"/>
        <v>3281.8</v>
      </c>
      <c r="I57" s="9">
        <f t="shared" si="2"/>
        <v>3133.47</v>
      </c>
      <c r="J57" s="9">
        <f t="shared" si="2"/>
        <v>3369.23</v>
      </c>
      <c r="K57" s="9">
        <f t="shared" si="2"/>
        <v>3426.14</v>
      </c>
      <c r="L57" s="9">
        <f t="shared" si="2"/>
        <v>3008.17</v>
      </c>
      <c r="M57" s="9">
        <f t="shared" si="2"/>
        <v>3150.63</v>
      </c>
      <c r="N57" s="9">
        <f t="shared" si="2"/>
        <v>3249.67</v>
      </c>
      <c r="O57" s="9">
        <f t="shared" si="2"/>
        <v>3127.68</v>
      </c>
      <c r="P57" s="9">
        <f t="shared" si="2"/>
        <v>3154.98</v>
      </c>
      <c r="Q57" s="9">
        <f t="shared" si="2"/>
        <v>3184.77</v>
      </c>
      <c r="R57" s="9">
        <f t="shared" si="2"/>
        <v>3206.29</v>
      </c>
      <c r="S57" s="9">
        <f t="shared" si="2"/>
        <v>3161.41</v>
      </c>
      <c r="T57" s="9">
        <f t="shared" si="2"/>
        <v>3094.89</v>
      </c>
      <c r="U57" s="9">
        <f t="shared" si="2"/>
        <v>3159.13</v>
      </c>
      <c r="V57" s="10">
        <f t="shared" si="2"/>
        <v>3028.65</v>
      </c>
      <c r="W57" s="41"/>
      <c r="X57" s="41"/>
    </row>
    <row r="58" spans="2:26" ht="18" thickBot="1">
      <c r="C58" s="63" t="s">
        <v>9</v>
      </c>
      <c r="D58" s="64">
        <f t="shared" ref="D58:V58" si="3">(D56-D57)/(D56+D57)</f>
        <v>5.6492704124842079E-2</v>
      </c>
      <c r="E58" s="64">
        <f t="shared" si="3"/>
        <v>6.0951056230320787E-2</v>
      </c>
      <c r="F58" s="64">
        <f t="shared" si="3"/>
        <v>6.3101690023410179E-2</v>
      </c>
      <c r="G58" s="64">
        <f t="shared" si="3"/>
        <v>5.7003181313808847E-2</v>
      </c>
      <c r="H58" s="64">
        <f t="shared" si="3"/>
        <v>5.4162715830914747E-2</v>
      </c>
      <c r="I58" s="64">
        <f t="shared" si="3"/>
        <v>5.8490716272026282E-2</v>
      </c>
      <c r="J58" s="64">
        <f t="shared" si="3"/>
        <v>5.2750252681090459E-2</v>
      </c>
      <c r="K58" s="64">
        <f t="shared" si="3"/>
        <v>6.0542620035728655E-2</v>
      </c>
      <c r="L58" s="64">
        <f t="shared" si="3"/>
        <v>5.4440468163822746E-2</v>
      </c>
      <c r="M58" s="64">
        <f t="shared" si="3"/>
        <v>5.6060304187407969E-2</v>
      </c>
      <c r="N58" s="64">
        <f t="shared" si="3"/>
        <v>6.2134826758711868E-2</v>
      </c>
      <c r="O58" s="64">
        <f t="shared" si="3"/>
        <v>6.1006309134059009E-2</v>
      </c>
      <c r="P58" s="64">
        <f t="shared" si="3"/>
        <v>5.6254187805111502E-2</v>
      </c>
      <c r="Q58" s="64">
        <f t="shared" si="3"/>
        <v>5.4500058634136359E-2</v>
      </c>
      <c r="R58" s="64">
        <f t="shared" si="3"/>
        <v>5.7910077628710255E-2</v>
      </c>
      <c r="S58" s="64">
        <f t="shared" si="3"/>
        <v>5.6619369470181889E-2</v>
      </c>
      <c r="T58" s="64">
        <f t="shared" si="3"/>
        <v>5.826919244093437E-2</v>
      </c>
      <c r="U58" s="64">
        <f t="shared" si="3"/>
        <v>6.1174212030977872E-2</v>
      </c>
      <c r="V58" s="65">
        <f t="shared" si="3"/>
        <v>5.813845005597712E-2</v>
      </c>
      <c r="W58" s="42"/>
      <c r="X58" s="41"/>
    </row>
    <row r="59" spans="2:26">
      <c r="B59" s="124" t="s">
        <v>18</v>
      </c>
      <c r="C59" s="68" t="s">
        <v>67</v>
      </c>
      <c r="D59" s="66">
        <f t="shared" ref="D59:V59" si="4">AVERAGE(D6:D30)</f>
        <v>3332.0371999999998</v>
      </c>
      <c r="E59" s="66">
        <f t="shared" si="4"/>
        <v>3392.3395999999998</v>
      </c>
      <c r="F59" s="66">
        <f t="shared" si="4"/>
        <v>3209.9159999999993</v>
      </c>
      <c r="G59" s="66">
        <f t="shared" si="4"/>
        <v>3421.4919999999997</v>
      </c>
      <c r="H59" s="66">
        <f t="shared" si="4"/>
        <v>3571.7231999999999</v>
      </c>
      <c r="I59" s="66">
        <f t="shared" si="4"/>
        <v>3431.1208000000001</v>
      </c>
      <c r="J59" s="66">
        <f t="shared" si="4"/>
        <v>3670.4743999999996</v>
      </c>
      <c r="K59" s="66">
        <f t="shared" si="4"/>
        <v>3768.8128000000002</v>
      </c>
      <c r="L59" s="66">
        <f t="shared" si="4"/>
        <v>3270.7432000000008</v>
      </c>
      <c r="M59" s="66">
        <f t="shared" si="4"/>
        <v>3437.9115999999999</v>
      </c>
      <c r="N59" s="66">
        <f t="shared" si="4"/>
        <v>3581.2336</v>
      </c>
      <c r="O59" s="66">
        <f t="shared" si="4"/>
        <v>3431.8555999999994</v>
      </c>
      <c r="P59" s="66">
        <f t="shared" si="4"/>
        <v>3442.0256000000004</v>
      </c>
      <c r="Q59" s="66">
        <f t="shared" si="4"/>
        <v>3464.3411999999998</v>
      </c>
      <c r="R59" s="66">
        <f t="shared" si="4"/>
        <v>3509.2052000000012</v>
      </c>
      <c r="S59" s="66">
        <f t="shared" si="4"/>
        <v>3451.6887999999999</v>
      </c>
      <c r="T59" s="66">
        <f t="shared" si="4"/>
        <v>3384.3452000000002</v>
      </c>
      <c r="U59" s="66">
        <f t="shared" si="4"/>
        <v>3480.0932000000007</v>
      </c>
      <c r="V59" s="67">
        <f t="shared" si="4"/>
        <v>3311.481600000001</v>
      </c>
      <c r="W59" s="29"/>
    </row>
    <row r="60" spans="2:26" s="43" customFormat="1">
      <c r="B60" s="125"/>
      <c r="C60" s="31" t="s">
        <v>10</v>
      </c>
      <c r="D60" s="62">
        <f t="shared" ref="D60:V60" si="5">MAX(D6:D30)</f>
        <v>3424.32</v>
      </c>
      <c r="E60" s="62">
        <f t="shared" si="5"/>
        <v>3485.76</v>
      </c>
      <c r="F60" s="62">
        <f t="shared" si="5"/>
        <v>3315.07</v>
      </c>
      <c r="G60" s="62">
        <f t="shared" si="5"/>
        <v>3510.26</v>
      </c>
      <c r="H60" s="62">
        <f t="shared" si="5"/>
        <v>3657.66</v>
      </c>
      <c r="I60" s="62">
        <f t="shared" si="5"/>
        <v>3522.8</v>
      </c>
      <c r="J60" s="62">
        <f t="shared" si="5"/>
        <v>3744.48</v>
      </c>
      <c r="K60" s="62">
        <f t="shared" si="5"/>
        <v>3867.73</v>
      </c>
      <c r="L60" s="62">
        <f t="shared" si="5"/>
        <v>3354.56</v>
      </c>
      <c r="M60" s="62">
        <f t="shared" si="5"/>
        <v>3524.86</v>
      </c>
      <c r="N60" s="62">
        <f t="shared" si="5"/>
        <v>3680.26</v>
      </c>
      <c r="O60" s="62">
        <f t="shared" si="5"/>
        <v>3534.09</v>
      </c>
      <c r="P60" s="62">
        <f t="shared" si="5"/>
        <v>3531.1</v>
      </c>
      <c r="Q60" s="62">
        <f t="shared" si="5"/>
        <v>3551.92</v>
      </c>
      <c r="R60" s="62">
        <f t="shared" si="5"/>
        <v>3600.47</v>
      </c>
      <c r="S60" s="62">
        <f t="shared" si="5"/>
        <v>3540.89</v>
      </c>
      <c r="T60" s="62">
        <f t="shared" si="5"/>
        <v>3477.88</v>
      </c>
      <c r="U60" s="62">
        <f t="shared" si="5"/>
        <v>3570.83</v>
      </c>
      <c r="V60" s="45">
        <f t="shared" si="5"/>
        <v>3402.55</v>
      </c>
      <c r="W60" s="29"/>
    </row>
    <row r="61" spans="2:26">
      <c r="B61" s="125"/>
      <c r="C61" s="31" t="s">
        <v>11</v>
      </c>
      <c r="D61" s="29">
        <f t="shared" ref="D61:V61" si="6">MIN(D6:D30)</f>
        <v>3214.59</v>
      </c>
      <c r="E61" s="29">
        <f t="shared" si="6"/>
        <v>3270.77</v>
      </c>
      <c r="F61" s="29">
        <f t="shared" si="6"/>
        <v>3085.64</v>
      </c>
      <c r="G61" s="29">
        <f t="shared" si="6"/>
        <v>3308.03</v>
      </c>
      <c r="H61" s="29">
        <f t="shared" si="6"/>
        <v>3460.58</v>
      </c>
      <c r="I61" s="29">
        <f t="shared" si="6"/>
        <v>3310.89</v>
      </c>
      <c r="J61" s="29">
        <f t="shared" si="6"/>
        <v>3557.91</v>
      </c>
      <c r="K61" s="29">
        <f t="shared" si="6"/>
        <v>3609.85</v>
      </c>
      <c r="L61" s="29">
        <f t="shared" si="6"/>
        <v>3161.73</v>
      </c>
      <c r="M61" s="29">
        <f t="shared" si="6"/>
        <v>3326.09</v>
      </c>
      <c r="N61" s="29">
        <f t="shared" si="6"/>
        <v>3457.96</v>
      </c>
      <c r="O61" s="29">
        <f t="shared" si="6"/>
        <v>3309.83</v>
      </c>
      <c r="P61" s="29">
        <f t="shared" si="6"/>
        <v>3330.83</v>
      </c>
      <c r="Q61" s="29">
        <f t="shared" si="6"/>
        <v>3356.17</v>
      </c>
      <c r="R61" s="29">
        <f t="shared" si="6"/>
        <v>3392.89</v>
      </c>
      <c r="S61" s="29">
        <f t="shared" si="6"/>
        <v>3340.11</v>
      </c>
      <c r="T61" s="29">
        <f t="shared" si="6"/>
        <v>3268.31</v>
      </c>
      <c r="U61" s="29">
        <f t="shared" si="6"/>
        <v>3366.63</v>
      </c>
      <c r="V61" s="30">
        <f t="shared" si="6"/>
        <v>3190.99</v>
      </c>
      <c r="W61" s="29"/>
    </row>
    <row r="62" spans="2:26" ht="35.4" thickBot="1">
      <c r="B62" s="126"/>
      <c r="C62" s="35" t="s">
        <v>12</v>
      </c>
      <c r="D62" s="36">
        <f t="shared" ref="D62:V62" si="7">(D60-D61)/(D60+D61)</f>
        <v>3.1591029250283557E-2</v>
      </c>
      <c r="E62" s="36">
        <f t="shared" si="7"/>
        <v>3.1819587865368794E-2</v>
      </c>
      <c r="F62" s="36">
        <f t="shared" si="7"/>
        <v>3.5844461005107291E-2</v>
      </c>
      <c r="G62" s="36">
        <f t="shared" si="7"/>
        <v>2.9659929395786919E-2</v>
      </c>
      <c r="H62" s="36">
        <f t="shared" si="7"/>
        <v>2.7686619164287791E-2</v>
      </c>
      <c r="I62" s="36">
        <f t="shared" si="7"/>
        <v>3.100960096229128E-2</v>
      </c>
      <c r="J62" s="36">
        <f t="shared" si="7"/>
        <v>2.5549169518472744E-2</v>
      </c>
      <c r="K62" s="36">
        <f t="shared" si="7"/>
        <v>3.4487093417923997E-2</v>
      </c>
      <c r="L62" s="36">
        <f t="shared" si="7"/>
        <v>2.9591991762183686E-2</v>
      </c>
      <c r="M62" s="36">
        <f t="shared" si="7"/>
        <v>2.9013494478867887E-2</v>
      </c>
      <c r="N62" s="36">
        <f t="shared" si="7"/>
        <v>3.1142217527618955E-2</v>
      </c>
      <c r="O62" s="36">
        <f t="shared" si="7"/>
        <v>3.276777051748124E-2</v>
      </c>
      <c r="P62" s="36">
        <f t="shared" si="7"/>
        <v>2.9185666423294902E-2</v>
      </c>
      <c r="Q62" s="36">
        <f t="shared" si="7"/>
        <v>2.8336341883212292E-2</v>
      </c>
      <c r="R62" s="36">
        <f t="shared" si="7"/>
        <v>2.9682441630346491E-2</v>
      </c>
      <c r="S62" s="36">
        <f t="shared" si="7"/>
        <v>2.9178898415927881E-2</v>
      </c>
      <c r="T62" s="36">
        <f t="shared" si="7"/>
        <v>3.106494184124671E-2</v>
      </c>
      <c r="U62" s="36">
        <f t="shared" si="7"/>
        <v>2.9434403946112814E-2</v>
      </c>
      <c r="V62" s="37">
        <f t="shared" si="7"/>
        <v>3.2085950794262325E-2</v>
      </c>
      <c r="W62" s="39">
        <f>AVERAGE(D62:V62)</f>
        <v>3.0480611042109348E-2</v>
      </c>
    </row>
    <row r="63" spans="2:26">
      <c r="C63" s="31" t="s">
        <v>14</v>
      </c>
      <c r="D63" s="29">
        <f t="shared" ref="D63:V63" si="8">STDEVA(D6:D54)</f>
        <v>100.27041504051911</v>
      </c>
      <c r="E63" s="29">
        <f t="shared" si="8"/>
        <v>111.02242810584271</v>
      </c>
      <c r="F63" s="29">
        <f t="shared" si="8"/>
        <v>111.46335190977608</v>
      </c>
      <c r="G63" s="29">
        <f t="shared" si="8"/>
        <v>105.07107959056351</v>
      </c>
      <c r="H63" s="29">
        <f t="shared" si="8"/>
        <v>103.2459419468213</v>
      </c>
      <c r="I63" s="29">
        <f t="shared" si="8"/>
        <v>108.30939255977144</v>
      </c>
      <c r="J63" s="29">
        <f t="shared" si="8"/>
        <v>102.81739347513341</v>
      </c>
      <c r="K63" s="29">
        <f t="shared" si="8"/>
        <v>119.5371622655482</v>
      </c>
      <c r="L63" s="29">
        <f t="shared" si="8"/>
        <v>94.428932492015576</v>
      </c>
      <c r="M63" s="29">
        <f t="shared" si="8"/>
        <v>103.32512804225786</v>
      </c>
      <c r="N63" s="29">
        <f t="shared" si="8"/>
        <v>119.25843509079814</v>
      </c>
      <c r="O63" s="29">
        <f t="shared" si="8"/>
        <v>117.04443459454971</v>
      </c>
      <c r="P63" s="29">
        <f t="shared" si="8"/>
        <v>104.44167563211312</v>
      </c>
      <c r="Q63" s="29">
        <f t="shared" si="8"/>
        <v>99.956858321528927</v>
      </c>
      <c r="R63" s="29">
        <f t="shared" si="8"/>
        <v>109.50901436003083</v>
      </c>
      <c r="S63" s="29">
        <f t="shared" si="8"/>
        <v>104.70863703987507</v>
      </c>
      <c r="T63" s="29">
        <f t="shared" si="8"/>
        <v>105.842631343797</v>
      </c>
      <c r="U63" s="29">
        <f t="shared" si="8"/>
        <v>116.32514951649112</v>
      </c>
      <c r="V63" s="30">
        <f t="shared" si="8"/>
        <v>102.12578947271432</v>
      </c>
    </row>
    <row r="64" spans="2:26" ht="18" thickBot="1">
      <c r="C64" s="32" t="s">
        <v>15</v>
      </c>
      <c r="D64" s="33">
        <f t="shared" ref="D64:V64" si="9">D63/SQRT(49)</f>
        <v>14.324345005788444</v>
      </c>
      <c r="E64" s="33">
        <f t="shared" si="9"/>
        <v>15.860346872263245</v>
      </c>
      <c r="F64" s="33">
        <f t="shared" si="9"/>
        <v>15.923335987110869</v>
      </c>
      <c r="G64" s="33">
        <f t="shared" si="9"/>
        <v>15.010154227223358</v>
      </c>
      <c r="H64" s="33">
        <f t="shared" si="9"/>
        <v>14.749420278117329</v>
      </c>
      <c r="I64" s="33">
        <f t="shared" si="9"/>
        <v>15.472770365681635</v>
      </c>
      <c r="J64" s="33">
        <f t="shared" si="9"/>
        <v>14.688199067876202</v>
      </c>
      <c r="K64" s="33">
        <f t="shared" si="9"/>
        <v>17.076737466506888</v>
      </c>
      <c r="L64" s="33">
        <f t="shared" si="9"/>
        <v>13.489847498859367</v>
      </c>
      <c r="M64" s="33">
        <f t="shared" si="9"/>
        <v>14.760732577465408</v>
      </c>
      <c r="N64" s="33">
        <f t="shared" si="9"/>
        <v>17.036919298685451</v>
      </c>
      <c r="O64" s="33">
        <f t="shared" si="9"/>
        <v>16.720633513507103</v>
      </c>
      <c r="P64" s="33">
        <f t="shared" si="9"/>
        <v>14.920239376016159</v>
      </c>
      <c r="Q64" s="33">
        <f t="shared" si="9"/>
        <v>14.279551188789847</v>
      </c>
      <c r="R64" s="33">
        <f t="shared" si="9"/>
        <v>15.644144908575834</v>
      </c>
      <c r="S64" s="33">
        <f t="shared" si="9"/>
        <v>14.958376719982153</v>
      </c>
      <c r="T64" s="33">
        <f t="shared" si="9"/>
        <v>15.120375906256713</v>
      </c>
      <c r="U64" s="33">
        <f t="shared" si="9"/>
        <v>16.617878502355875</v>
      </c>
      <c r="V64" s="34">
        <f t="shared" si="9"/>
        <v>14.589398496102046</v>
      </c>
    </row>
    <row r="67" spans="3:4">
      <c r="C67" t="s">
        <v>103</v>
      </c>
      <c r="D67" s="22">
        <f>AVERAGE(D62:V62)</f>
        <v>3.0480611042109348E-2</v>
      </c>
    </row>
    <row r="68" spans="3:4" ht="34.799999999999997">
      <c r="C68" s="174" t="s">
        <v>104</v>
      </c>
      <c r="D68" s="176">
        <f>_xlfn.PERCENTILE.INC(D$62:V$62, 0.25)</f>
        <v>2.9182282419611391E-2</v>
      </c>
    </row>
    <row r="69" spans="3:4" ht="34.799999999999997">
      <c r="C69" s="174" t="s">
        <v>105</v>
      </c>
      <c r="D69" s="176">
        <f>_xlfn.PERCENTILE.INC(D$62:V$62, 0.5)</f>
        <v>2.9682441630346491E-2</v>
      </c>
    </row>
    <row r="70" spans="3:4" ht="34.799999999999997">
      <c r="C70" s="174" t="s">
        <v>106</v>
      </c>
      <c r="D70" s="176">
        <f>_xlfn.PERCENTILE.INC(D$62:V$62, 0.75)</f>
        <v>3.1705308557826176E-2</v>
      </c>
    </row>
    <row r="71" spans="3:4" ht="34.799999999999997">
      <c r="C71" s="174" t="s">
        <v>107</v>
      </c>
      <c r="D71" s="175">
        <f>_xlfn.PERCENTILE.INC(D$62:V$62, 1)</f>
        <v>3.5844461005107291E-2</v>
      </c>
    </row>
  </sheetData>
  <mergeCells count="4">
    <mergeCell ref="B59:B62"/>
    <mergeCell ref="X10:AF39"/>
    <mergeCell ref="X8:AF9"/>
    <mergeCell ref="C4:V4"/>
  </mergeCells>
  <phoneticPr fontId="18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92"/>
  <sheetViews>
    <sheetView zoomScale="130" zoomScaleNormal="130" workbookViewId="0">
      <selection activeCell="I20" sqref="I20"/>
    </sheetView>
  </sheetViews>
  <sheetFormatPr defaultRowHeight="17.399999999999999"/>
  <cols>
    <col min="2" max="2" width="16.8984375" bestFit="1" customWidth="1"/>
    <col min="19" max="19" width="14.5" customWidth="1"/>
    <col min="20" max="20" width="6.19921875" customWidth="1"/>
    <col min="21" max="21" width="10" customWidth="1"/>
    <col min="24" max="24" width="16.09765625" customWidth="1"/>
  </cols>
  <sheetData>
    <row r="1" spans="2:24" ht="18" thickBot="1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9"/>
    </row>
    <row r="2" spans="2:24">
      <c r="B2" s="137" t="s">
        <v>94</v>
      </c>
      <c r="C2" s="145" t="s">
        <v>37</v>
      </c>
      <c r="D2" s="146"/>
      <c r="E2" s="146"/>
      <c r="F2" s="146"/>
      <c r="G2" s="146"/>
      <c r="H2" s="146"/>
      <c r="I2" s="147"/>
      <c r="J2" s="140" t="s">
        <v>38</v>
      </c>
      <c r="K2" s="140"/>
      <c r="L2" s="140"/>
      <c r="M2" s="140"/>
      <c r="N2" s="141"/>
      <c r="O2" s="29"/>
      <c r="P2" s="156" t="s">
        <v>85</v>
      </c>
      <c r="Q2" s="157"/>
      <c r="R2" s="157"/>
      <c r="S2" s="158"/>
      <c r="T2" s="81"/>
      <c r="U2" s="156" t="s">
        <v>84</v>
      </c>
      <c r="V2" s="157"/>
      <c r="W2" s="157"/>
      <c r="X2" s="158"/>
    </row>
    <row r="3" spans="2:24" ht="16.5" customHeight="1">
      <c r="B3" s="138"/>
      <c r="C3" s="142" t="s">
        <v>39</v>
      </c>
      <c r="D3" s="143"/>
      <c r="E3" s="144"/>
      <c r="F3" s="133" t="s">
        <v>40</v>
      </c>
      <c r="G3" s="133" t="s">
        <v>41</v>
      </c>
      <c r="H3" s="133" t="s">
        <v>80</v>
      </c>
      <c r="I3" s="133" t="s">
        <v>43</v>
      </c>
      <c r="J3" s="149" t="s">
        <v>39</v>
      </c>
      <c r="K3" s="149"/>
      <c r="L3" s="133" t="s">
        <v>41</v>
      </c>
      <c r="M3" s="133" t="s">
        <v>43</v>
      </c>
      <c r="N3" s="135" t="s">
        <v>40</v>
      </c>
      <c r="P3" s="150" t="s">
        <v>70</v>
      </c>
      <c r="Q3" s="152" t="s">
        <v>68</v>
      </c>
      <c r="R3" s="152" t="s">
        <v>69</v>
      </c>
      <c r="S3" s="154" t="s">
        <v>71</v>
      </c>
      <c r="T3" s="81"/>
      <c r="U3" s="150" t="s">
        <v>70</v>
      </c>
      <c r="V3" s="152" t="s">
        <v>68</v>
      </c>
      <c r="W3" s="152" t="s">
        <v>69</v>
      </c>
      <c r="X3" s="154" t="s">
        <v>71</v>
      </c>
    </row>
    <row r="4" spans="2:24" ht="18" thickBot="1">
      <c r="B4" s="139"/>
      <c r="C4" s="44" t="s">
        <v>44</v>
      </c>
      <c r="D4" s="44" t="s">
        <v>45</v>
      </c>
      <c r="E4" s="44" t="s">
        <v>46</v>
      </c>
      <c r="F4" s="134"/>
      <c r="G4" s="134"/>
      <c r="H4" s="148"/>
      <c r="I4" s="134"/>
      <c r="J4" s="44" t="s">
        <v>47</v>
      </c>
      <c r="K4" s="44" t="s">
        <v>48</v>
      </c>
      <c r="L4" s="134"/>
      <c r="M4" s="134"/>
      <c r="N4" s="136"/>
      <c r="P4" s="151"/>
      <c r="Q4" s="153"/>
      <c r="R4" s="153"/>
      <c r="S4" s="155"/>
      <c r="T4" s="81"/>
      <c r="U4" s="151"/>
      <c r="V4" s="153"/>
      <c r="W4" s="153"/>
      <c r="X4" s="155"/>
    </row>
    <row r="5" spans="2:24" ht="18" thickBot="1">
      <c r="B5" s="47" t="s">
        <v>95</v>
      </c>
      <c r="C5" s="48">
        <v>200</v>
      </c>
      <c r="D5" s="48">
        <v>4000</v>
      </c>
      <c r="E5" s="48">
        <v>3000</v>
      </c>
      <c r="F5" s="48">
        <v>2250</v>
      </c>
      <c r="G5" s="48">
        <v>400</v>
      </c>
      <c r="H5" s="48">
        <v>360</v>
      </c>
      <c r="I5" s="48">
        <v>30</v>
      </c>
      <c r="J5" s="48">
        <v>2000</v>
      </c>
      <c r="K5" s="48">
        <v>3000</v>
      </c>
      <c r="L5" s="48">
        <v>3000</v>
      </c>
      <c r="M5" s="48">
        <v>120</v>
      </c>
      <c r="N5" s="49">
        <v>2500</v>
      </c>
      <c r="P5" s="84">
        <f>'SiO2_Thickness Table'!$V$55</f>
        <v>3259.0153061224496</v>
      </c>
      <c r="Q5" s="85">
        <f>'SiO2_Thickness Table'!$V$56</f>
        <v>3402.55</v>
      </c>
      <c r="R5" s="85">
        <f>'SiO2_Thickness Table'!$V$57</f>
        <v>3028.65</v>
      </c>
      <c r="S5" s="86">
        <f>'SiO2_Thickness Table'!$V$58</f>
        <v>5.813845005597712E-2</v>
      </c>
      <c r="T5" s="82"/>
      <c r="U5" s="106">
        <f>'SiO2_Thickness Table'!$V$59</f>
        <v>3311.481600000001</v>
      </c>
      <c r="V5" s="87">
        <f>'SiO2_Thickness Table'!$V$60</f>
        <v>3402.55</v>
      </c>
      <c r="W5" s="87">
        <f>'SiO2_Thickness Table'!$V$61</f>
        <v>3190.99</v>
      </c>
      <c r="X5" s="86">
        <f>'SiO2_Thickness Table'!$V$62</f>
        <v>3.2085950794262325E-2</v>
      </c>
    </row>
    <row r="6" spans="2:24" ht="18" thickTop="1">
      <c r="B6" s="73" t="s">
        <v>49</v>
      </c>
      <c r="C6" s="72">
        <v>200</v>
      </c>
      <c r="D6" s="72">
        <v>4000</v>
      </c>
      <c r="E6" s="72">
        <v>3000</v>
      </c>
      <c r="F6" s="72">
        <v>2250</v>
      </c>
      <c r="G6" s="72">
        <v>400</v>
      </c>
      <c r="H6" s="88">
        <v>360</v>
      </c>
      <c r="I6" s="72">
        <v>30</v>
      </c>
      <c r="J6" s="72">
        <v>2000</v>
      </c>
      <c r="K6" s="72">
        <v>3000</v>
      </c>
      <c r="L6" s="72">
        <v>3000</v>
      </c>
      <c r="M6" s="72">
        <v>120</v>
      </c>
      <c r="N6" s="89">
        <v>2500</v>
      </c>
      <c r="P6" s="77">
        <f>'SiO2_Thickness Table'!$D$55</f>
        <v>3282.6626530612239</v>
      </c>
      <c r="Q6" s="72">
        <f>'SiO2_Thickness Table'!$D$56</f>
        <v>3424.32</v>
      </c>
      <c r="R6" s="72">
        <f>'SiO2_Thickness Table'!$D$57</f>
        <v>3058.11</v>
      </c>
      <c r="S6" s="79">
        <f>'SiO2_Thickness Table'!$D$58</f>
        <v>5.6492704124842079E-2</v>
      </c>
      <c r="T6" s="81"/>
      <c r="U6" s="107">
        <f>'SiO2_Thickness Table'!$D$59</f>
        <v>3332.0371999999998</v>
      </c>
      <c r="V6" s="72">
        <f>'SiO2_Thickness Table'!$D$60</f>
        <v>3424.32</v>
      </c>
      <c r="W6" s="72">
        <f>'SiO2_Thickness Table'!$D$61</f>
        <v>3214.59</v>
      </c>
      <c r="X6" s="79">
        <f>'SiO2_Thickness Table'!$D$62</f>
        <v>3.1591029250283557E-2</v>
      </c>
    </row>
    <row r="7" spans="2:24" ht="18" thickBot="1">
      <c r="B7" s="56" t="s">
        <v>50</v>
      </c>
      <c r="C7" s="57">
        <v>200</v>
      </c>
      <c r="D7" s="57">
        <v>4000</v>
      </c>
      <c r="E7" s="57">
        <v>3000</v>
      </c>
      <c r="F7" s="57">
        <v>2250</v>
      </c>
      <c r="G7" s="57">
        <v>400</v>
      </c>
      <c r="H7" s="90">
        <v>400</v>
      </c>
      <c r="I7" s="57">
        <v>30</v>
      </c>
      <c r="J7" s="57">
        <v>2000</v>
      </c>
      <c r="K7" s="57">
        <v>3000</v>
      </c>
      <c r="L7" s="57">
        <v>3000</v>
      </c>
      <c r="M7" s="57">
        <v>120</v>
      </c>
      <c r="N7" s="58">
        <v>2500</v>
      </c>
      <c r="P7" s="76">
        <f>'SiO2_Thickness Table'!$E$55</f>
        <v>3327.2769387755102</v>
      </c>
      <c r="Q7" s="57">
        <f>'SiO2_Thickness Table'!$E$56</f>
        <v>3485.76</v>
      </c>
      <c r="R7" s="57">
        <f>'SiO2_Thickness Table'!$E$57</f>
        <v>3085.25</v>
      </c>
      <c r="S7" s="91">
        <f>'SiO2_Thickness Table'!$E$58</f>
        <v>6.0951056230320787E-2</v>
      </c>
      <c r="T7" s="81"/>
      <c r="U7" s="108">
        <f>'SiO2_Thickness Table'!$E$59</f>
        <v>3392.3395999999998</v>
      </c>
      <c r="V7" s="57">
        <f>'SiO2_Thickness Table'!$E$60</f>
        <v>3485.76</v>
      </c>
      <c r="W7" s="57">
        <f>'SiO2_Thickness Table'!$E$61</f>
        <v>3270.77</v>
      </c>
      <c r="X7" s="80">
        <f>'SiO2_Thickness Table'!$E$62</f>
        <v>3.1819587865368794E-2</v>
      </c>
    </row>
    <row r="8" spans="2:24" ht="18" thickTop="1">
      <c r="B8" s="73" t="s">
        <v>51</v>
      </c>
      <c r="C8" s="72">
        <v>200</v>
      </c>
      <c r="D8" s="72">
        <v>4000</v>
      </c>
      <c r="E8" s="72">
        <v>3000</v>
      </c>
      <c r="F8" s="72">
        <v>2250</v>
      </c>
      <c r="G8" s="88">
        <v>360</v>
      </c>
      <c r="H8" s="72">
        <v>400</v>
      </c>
      <c r="I8" s="72">
        <v>30</v>
      </c>
      <c r="J8" s="72">
        <v>2000</v>
      </c>
      <c r="K8" s="72">
        <v>3000</v>
      </c>
      <c r="L8" s="72">
        <v>3000</v>
      </c>
      <c r="M8" s="72">
        <v>120</v>
      </c>
      <c r="N8" s="89">
        <v>2500</v>
      </c>
      <c r="P8" s="77">
        <f>'SiO2_Thickness Table'!$F$55</f>
        <v>3145.4934693877549</v>
      </c>
      <c r="Q8" s="72">
        <f>'SiO2_Thickness Table'!$F$56</f>
        <v>3315.07</v>
      </c>
      <c r="R8" s="72">
        <f>'SiO2_Thickness Table'!$F$57</f>
        <v>2921.53</v>
      </c>
      <c r="S8" s="79">
        <f>'SiO2_Thickness Table'!$F$58</f>
        <v>6.3101690023410179E-2</v>
      </c>
      <c r="T8" s="81"/>
      <c r="U8" s="107">
        <f>'SiO2_Thickness Table'!$F$59</f>
        <v>3209.9159999999993</v>
      </c>
      <c r="V8" s="72">
        <f>'SiO2_Thickness Table'!$F$60</f>
        <v>3315.07</v>
      </c>
      <c r="W8" s="72">
        <f>'SiO2_Thickness Table'!$F$61</f>
        <v>3085.64</v>
      </c>
      <c r="X8" s="79">
        <f>'SiO2_Thickness Table'!$F$62</f>
        <v>3.5844461005107291E-2</v>
      </c>
    </row>
    <row r="9" spans="2:24" ht="16.5" customHeight="1">
      <c r="B9" s="50" t="s">
        <v>52</v>
      </c>
      <c r="C9" s="29">
        <v>200</v>
      </c>
      <c r="D9" s="29">
        <v>4000</v>
      </c>
      <c r="E9" s="29">
        <v>3000</v>
      </c>
      <c r="F9" s="29">
        <v>2250</v>
      </c>
      <c r="G9" s="59">
        <v>400</v>
      </c>
      <c r="H9" s="29">
        <v>400</v>
      </c>
      <c r="I9" s="29">
        <v>30</v>
      </c>
      <c r="J9" s="29">
        <v>2000</v>
      </c>
      <c r="K9" s="29">
        <v>3000</v>
      </c>
      <c r="L9" s="29">
        <v>3000</v>
      </c>
      <c r="M9" s="29">
        <v>120</v>
      </c>
      <c r="N9" s="30">
        <v>2500</v>
      </c>
      <c r="P9" s="74">
        <f>'SiO2_Thickness Table'!$G$55</f>
        <v>3357.9459183673453</v>
      </c>
      <c r="Q9" s="29">
        <f>'SiO2_Thickness Table'!$G$56</f>
        <v>3510.26</v>
      </c>
      <c r="R9" s="29">
        <f>'SiO2_Thickness Table'!$G$57</f>
        <v>3131.65</v>
      </c>
      <c r="S9" s="83">
        <f>'SiO2_Thickness Table'!$G$58</f>
        <v>5.7003181313808847E-2</v>
      </c>
      <c r="T9" s="81"/>
      <c r="U9" s="109">
        <f>'SiO2_Thickness Table'!$G$59</f>
        <v>3421.4919999999997</v>
      </c>
      <c r="V9" s="29">
        <f>'SiO2_Thickness Table'!$G$60</f>
        <v>3510.26</v>
      </c>
      <c r="W9" s="29">
        <f>'SiO2_Thickness Table'!$G$61</f>
        <v>3308.03</v>
      </c>
      <c r="X9" s="75">
        <f>'SiO2_Thickness Table'!$G$62</f>
        <v>2.9659929395786919E-2</v>
      </c>
    </row>
    <row r="10" spans="2:24" ht="18" thickBot="1">
      <c r="B10" s="56" t="s">
        <v>53</v>
      </c>
      <c r="C10" s="57">
        <v>200</v>
      </c>
      <c r="D10" s="57">
        <v>4000</v>
      </c>
      <c r="E10" s="57">
        <v>3000</v>
      </c>
      <c r="F10" s="57">
        <v>2250</v>
      </c>
      <c r="G10" s="90">
        <v>440</v>
      </c>
      <c r="H10" s="57">
        <v>400</v>
      </c>
      <c r="I10" s="57">
        <v>30</v>
      </c>
      <c r="J10" s="57">
        <v>2000</v>
      </c>
      <c r="K10" s="57">
        <v>3000</v>
      </c>
      <c r="L10" s="57">
        <v>3000</v>
      </c>
      <c r="M10" s="57">
        <v>120</v>
      </c>
      <c r="N10" s="58">
        <v>2500</v>
      </c>
      <c r="P10" s="78">
        <f>'SiO2_Thickness Table'!$H$55</f>
        <v>3509.9308163265296</v>
      </c>
      <c r="Q10" s="57">
        <f>'SiO2_Thickness Table'!$H$56</f>
        <v>3657.66</v>
      </c>
      <c r="R10" s="57">
        <f>'SiO2_Thickness Table'!$H$57</f>
        <v>3281.8</v>
      </c>
      <c r="S10" s="80">
        <f>'SiO2_Thickness Table'!$H$58</f>
        <v>5.4162715830914747E-2</v>
      </c>
      <c r="T10" s="81"/>
      <c r="U10" s="108">
        <f>'SiO2_Thickness Table'!$H$59</f>
        <v>3571.7231999999999</v>
      </c>
      <c r="V10" s="57">
        <f>'SiO2_Thickness Table'!$H$60</f>
        <v>3657.66</v>
      </c>
      <c r="W10" s="92">
        <f>'SiO2_Thickness Table'!$H$61</f>
        <v>3460.58</v>
      </c>
      <c r="X10" s="80">
        <f>'SiO2_Thickness Table'!$H$62</f>
        <v>2.7686619164287791E-2</v>
      </c>
    </row>
    <row r="11" spans="2:24" ht="18" thickTop="1">
      <c r="B11" s="73" t="s">
        <v>54</v>
      </c>
      <c r="C11" s="72">
        <v>200</v>
      </c>
      <c r="D11" s="72">
        <v>4000</v>
      </c>
      <c r="E11" s="72">
        <v>3000</v>
      </c>
      <c r="F11" s="88">
        <v>2250</v>
      </c>
      <c r="G11" s="72">
        <v>400</v>
      </c>
      <c r="H11" s="72">
        <v>400</v>
      </c>
      <c r="I11" s="72">
        <v>30</v>
      </c>
      <c r="J11" s="72">
        <v>2000</v>
      </c>
      <c r="K11" s="72">
        <v>3000</v>
      </c>
      <c r="L11" s="72">
        <v>3000</v>
      </c>
      <c r="M11" s="72">
        <v>120</v>
      </c>
      <c r="N11" s="89">
        <v>2500</v>
      </c>
      <c r="P11" s="94">
        <f>'SiO2_Thickness Table'!$I$55</f>
        <v>3367.9642857142858</v>
      </c>
      <c r="Q11" s="72">
        <f>'SiO2_Thickness Table'!$I$56</f>
        <v>3522.8</v>
      </c>
      <c r="R11" s="72">
        <f>'SiO2_Thickness Table'!$I$57</f>
        <v>3133.47</v>
      </c>
      <c r="S11" s="95">
        <f>'SiO2_Thickness Table'!$I$58</f>
        <v>5.8490716272026282E-2</v>
      </c>
      <c r="T11" s="81"/>
      <c r="U11" s="110">
        <f>'SiO2_Thickness Table'!$I$59</f>
        <v>3431.1208000000001</v>
      </c>
      <c r="V11" s="72">
        <f>'SiO2_Thickness Table'!$I$60</f>
        <v>3522.8</v>
      </c>
      <c r="W11" s="72">
        <f>'SiO2_Thickness Table'!$I$61</f>
        <v>3310.89</v>
      </c>
      <c r="X11" s="95">
        <f>'SiO2_Thickness Table'!$I$62</f>
        <v>3.100960096229128E-2</v>
      </c>
    </row>
    <row r="12" spans="2:24">
      <c r="B12" s="50" t="s">
        <v>55</v>
      </c>
      <c r="C12" s="29">
        <v>200</v>
      </c>
      <c r="D12" s="29">
        <v>4000</v>
      </c>
      <c r="E12" s="29">
        <v>3000</v>
      </c>
      <c r="F12" s="59">
        <v>2500</v>
      </c>
      <c r="G12" s="29">
        <v>400</v>
      </c>
      <c r="H12" s="29">
        <v>400</v>
      </c>
      <c r="I12" s="29">
        <v>30</v>
      </c>
      <c r="J12" s="29">
        <v>2000</v>
      </c>
      <c r="K12" s="29">
        <v>3000</v>
      </c>
      <c r="L12" s="29">
        <v>3000</v>
      </c>
      <c r="M12" s="29">
        <v>120</v>
      </c>
      <c r="N12" s="30">
        <v>2500</v>
      </c>
      <c r="P12" s="96">
        <f>'SiO2_Thickness Table'!$J$55</f>
        <v>3607.3010204081638</v>
      </c>
      <c r="Q12" s="69">
        <f>'SiO2_Thickness Table'!$J$56</f>
        <v>3744.48</v>
      </c>
      <c r="R12" s="69">
        <f>'SiO2_Thickness Table'!$J$57</f>
        <v>3369.23</v>
      </c>
      <c r="S12" s="70">
        <f>'SiO2_Thickness Table'!$J$58</f>
        <v>5.2750252681090459E-2</v>
      </c>
      <c r="T12" s="81"/>
      <c r="U12" s="111">
        <f>'SiO2_Thickness Table'!$J$59</f>
        <v>3670.4743999999996</v>
      </c>
      <c r="V12" s="69">
        <f>'SiO2_Thickness Table'!$J$60</f>
        <v>3744.48</v>
      </c>
      <c r="W12" s="69">
        <f>'SiO2_Thickness Table'!$J$61</f>
        <v>3557.91</v>
      </c>
      <c r="X12" s="70">
        <f>'SiO2_Thickness Table'!$J$62</f>
        <v>2.5549169518472744E-2</v>
      </c>
    </row>
    <row r="13" spans="2:24" ht="18" thickBot="1">
      <c r="B13" s="56" t="s">
        <v>56</v>
      </c>
      <c r="C13" s="57">
        <v>200</v>
      </c>
      <c r="D13" s="57">
        <v>4000</v>
      </c>
      <c r="E13" s="57">
        <v>3000</v>
      </c>
      <c r="F13" s="90">
        <v>2750</v>
      </c>
      <c r="G13" s="57">
        <v>400</v>
      </c>
      <c r="H13" s="57">
        <v>400</v>
      </c>
      <c r="I13" s="57">
        <v>30</v>
      </c>
      <c r="J13" s="57">
        <v>2000</v>
      </c>
      <c r="K13" s="57">
        <v>3000</v>
      </c>
      <c r="L13" s="57">
        <v>3000</v>
      </c>
      <c r="M13" s="57">
        <v>120</v>
      </c>
      <c r="N13" s="58">
        <v>2500</v>
      </c>
      <c r="P13" s="97">
        <f>'SiO2_Thickness Table'!$K$55</f>
        <v>3705.5000000000005</v>
      </c>
      <c r="Q13" s="98">
        <f>'SiO2_Thickness Table'!$K$56</f>
        <v>3867.73</v>
      </c>
      <c r="R13" s="98">
        <f>'SiO2_Thickness Table'!$K$57</f>
        <v>3426.14</v>
      </c>
      <c r="S13" s="99">
        <f>'SiO2_Thickness Table'!$K$58</f>
        <v>6.0542620035728655E-2</v>
      </c>
      <c r="T13" s="81"/>
      <c r="U13" s="112">
        <f>'SiO2_Thickness Table'!$K$59</f>
        <v>3768.8128000000002</v>
      </c>
      <c r="V13" s="98">
        <f>'SiO2_Thickness Table'!$K$60</f>
        <v>3867.73</v>
      </c>
      <c r="W13" s="98">
        <f>'SiO2_Thickness Table'!$K$61</f>
        <v>3609.85</v>
      </c>
      <c r="X13" s="99">
        <f>'SiO2_Thickness Table'!$K$62</f>
        <v>3.4487093417923997E-2</v>
      </c>
    </row>
    <row r="14" spans="2:24" ht="18" thickTop="1">
      <c r="B14" s="73" t="s">
        <v>57</v>
      </c>
      <c r="C14" s="88">
        <v>180</v>
      </c>
      <c r="D14" s="72">
        <v>4000</v>
      </c>
      <c r="E14" s="72">
        <v>3000</v>
      </c>
      <c r="F14" s="72">
        <v>2250</v>
      </c>
      <c r="G14" s="72">
        <v>400</v>
      </c>
      <c r="H14" s="72">
        <v>400</v>
      </c>
      <c r="I14" s="72">
        <v>30</v>
      </c>
      <c r="J14" s="72">
        <v>2000</v>
      </c>
      <c r="K14" s="72">
        <v>3000</v>
      </c>
      <c r="L14" s="72">
        <v>3000</v>
      </c>
      <c r="M14" s="72">
        <v>120</v>
      </c>
      <c r="N14" s="89">
        <v>2500</v>
      </c>
      <c r="P14" s="100">
        <f>'SiO2_Thickness Table'!$L$55</f>
        <v>3219.0679591836733</v>
      </c>
      <c r="Q14" s="101">
        <f>'SiO2_Thickness Table'!$L$56</f>
        <v>3354.56</v>
      </c>
      <c r="R14" s="101">
        <f>'SiO2_Thickness Table'!$L$57</f>
        <v>3008.17</v>
      </c>
      <c r="S14" s="102">
        <f>'SiO2_Thickness Table'!$L$58</f>
        <v>5.4440468163822746E-2</v>
      </c>
      <c r="T14" s="81"/>
      <c r="U14" s="113">
        <f>'SiO2_Thickness Table'!$L$59</f>
        <v>3270.7432000000008</v>
      </c>
      <c r="V14" s="101">
        <f>'SiO2_Thickness Table'!$L$60</f>
        <v>3354.56</v>
      </c>
      <c r="W14" s="101">
        <f>'SiO2_Thickness Table'!$L$61</f>
        <v>3161.73</v>
      </c>
      <c r="X14" s="102">
        <f>'SiO2_Thickness Table'!$L$62</f>
        <v>2.9591991762183686E-2</v>
      </c>
    </row>
    <row r="15" spans="2:24">
      <c r="B15" s="50" t="s">
        <v>58</v>
      </c>
      <c r="C15" s="59">
        <v>200</v>
      </c>
      <c r="D15" s="29">
        <v>4000</v>
      </c>
      <c r="E15" s="29">
        <v>3000</v>
      </c>
      <c r="F15" s="29">
        <v>2250</v>
      </c>
      <c r="G15" s="29">
        <v>400</v>
      </c>
      <c r="H15" s="29">
        <v>400</v>
      </c>
      <c r="I15" s="29">
        <v>30</v>
      </c>
      <c r="J15" s="29">
        <v>2000</v>
      </c>
      <c r="K15" s="29">
        <v>3000</v>
      </c>
      <c r="L15" s="29">
        <v>3000</v>
      </c>
      <c r="M15" s="29">
        <v>120</v>
      </c>
      <c r="N15" s="30">
        <v>2500</v>
      </c>
      <c r="P15" s="96">
        <f>'SiO2_Thickness Table'!$M$55</f>
        <v>3375.5532653061227</v>
      </c>
      <c r="Q15" s="69">
        <f>'SiO2_Thickness Table'!$M$56</f>
        <v>3524.86</v>
      </c>
      <c r="R15" s="69">
        <f>'SiO2_Thickness Table'!$M$57</f>
        <v>3150.63</v>
      </c>
      <c r="S15" s="70">
        <f>'SiO2_Thickness Table'!$M$58</f>
        <v>5.6060304187407969E-2</v>
      </c>
      <c r="T15" s="81"/>
      <c r="U15" s="111">
        <f>'SiO2_Thickness Table'!$M$59</f>
        <v>3437.9115999999999</v>
      </c>
      <c r="V15" s="69">
        <f>'SiO2_Thickness Table'!$M$60</f>
        <v>3524.86</v>
      </c>
      <c r="W15" s="69">
        <f>'SiO2_Thickness Table'!$M$61</f>
        <v>3326.09</v>
      </c>
      <c r="X15" s="70">
        <f>'SiO2_Thickness Table'!$M$62</f>
        <v>2.9013494478867887E-2</v>
      </c>
    </row>
    <row r="16" spans="2:24" ht="18" thickBot="1">
      <c r="B16" s="56" t="s">
        <v>59</v>
      </c>
      <c r="C16" s="90">
        <v>220</v>
      </c>
      <c r="D16" s="57">
        <v>4000</v>
      </c>
      <c r="E16" s="57">
        <v>3000</v>
      </c>
      <c r="F16" s="57">
        <v>2250</v>
      </c>
      <c r="G16" s="57">
        <v>400</v>
      </c>
      <c r="H16" s="57">
        <v>400</v>
      </c>
      <c r="I16" s="57">
        <v>30</v>
      </c>
      <c r="J16" s="57">
        <v>2000</v>
      </c>
      <c r="K16" s="57">
        <v>3000</v>
      </c>
      <c r="L16" s="57">
        <v>3000</v>
      </c>
      <c r="M16" s="57">
        <v>120</v>
      </c>
      <c r="N16" s="58">
        <v>2500</v>
      </c>
      <c r="P16" s="97">
        <f>'SiO2_Thickness Table'!$N$55</f>
        <v>3508.4518367346936</v>
      </c>
      <c r="Q16" s="98">
        <f>'SiO2_Thickness Table'!$N$56</f>
        <v>3680.26</v>
      </c>
      <c r="R16" s="98">
        <f>'SiO2_Thickness Table'!$N$57</f>
        <v>3249.67</v>
      </c>
      <c r="S16" s="99">
        <f>'SiO2_Thickness Table'!$N$58</f>
        <v>6.2134826758711868E-2</v>
      </c>
      <c r="T16" s="81"/>
      <c r="U16" s="112">
        <f>'SiO2_Thickness Table'!$N$59</f>
        <v>3581.2336</v>
      </c>
      <c r="V16" s="98">
        <f>'SiO2_Thickness Table'!$N$60</f>
        <v>3680.26</v>
      </c>
      <c r="W16" s="98">
        <f>'SiO2_Thickness Table'!$N$61</f>
        <v>3457.96</v>
      </c>
      <c r="X16" s="99">
        <f>'SiO2_Thickness Table'!$N$62</f>
        <v>3.1142217527618955E-2</v>
      </c>
    </row>
    <row r="17" spans="2:35" ht="18" thickTop="1">
      <c r="B17" s="73" t="s">
        <v>60</v>
      </c>
      <c r="C17" s="72">
        <v>200</v>
      </c>
      <c r="D17" s="88">
        <v>3600</v>
      </c>
      <c r="E17" s="72">
        <v>3000</v>
      </c>
      <c r="F17" s="72">
        <v>2250</v>
      </c>
      <c r="G17" s="72">
        <v>400</v>
      </c>
      <c r="H17" s="72">
        <v>400</v>
      </c>
      <c r="I17" s="72">
        <v>30</v>
      </c>
      <c r="J17" s="72">
        <v>2000</v>
      </c>
      <c r="K17" s="72">
        <v>3000</v>
      </c>
      <c r="L17" s="72">
        <v>3000</v>
      </c>
      <c r="M17" s="72">
        <v>120</v>
      </c>
      <c r="N17" s="89">
        <v>2500</v>
      </c>
      <c r="P17" s="100">
        <f>'SiO2_Thickness Table'!$O$55</f>
        <v>3361.5836734693871</v>
      </c>
      <c r="Q17" s="101">
        <f>'SiO2_Thickness Table'!$O$56</f>
        <v>3534.09</v>
      </c>
      <c r="R17" s="101">
        <f>'SiO2_Thickness Table'!$O$57</f>
        <v>3127.68</v>
      </c>
      <c r="S17" s="102">
        <f>'SiO2_Thickness Table'!$O$58</f>
        <v>6.1006309134059009E-2</v>
      </c>
      <c r="T17" s="81"/>
      <c r="U17" s="113">
        <f>'SiO2_Thickness Table'!$O$59</f>
        <v>3431.8555999999994</v>
      </c>
      <c r="V17" s="101">
        <f>'SiO2_Thickness Table'!$O$60</f>
        <v>3534.09</v>
      </c>
      <c r="W17" s="101">
        <f>'SiO2_Thickness Table'!$O$61</f>
        <v>3309.83</v>
      </c>
      <c r="X17" s="102">
        <f>'SiO2_Thickness Table'!$O$62</f>
        <v>3.276777051748124E-2</v>
      </c>
    </row>
    <row r="18" spans="2:35">
      <c r="B18" s="50" t="s">
        <v>61</v>
      </c>
      <c r="C18" s="29">
        <v>200</v>
      </c>
      <c r="D18" s="59">
        <v>4000</v>
      </c>
      <c r="E18" s="29">
        <v>3000</v>
      </c>
      <c r="F18" s="29">
        <v>2250</v>
      </c>
      <c r="G18" s="29">
        <v>400</v>
      </c>
      <c r="H18" s="29">
        <v>400</v>
      </c>
      <c r="I18" s="29">
        <v>30</v>
      </c>
      <c r="J18" s="29">
        <v>2000</v>
      </c>
      <c r="K18" s="29">
        <v>3000</v>
      </c>
      <c r="L18" s="29">
        <v>3000</v>
      </c>
      <c r="M18" s="29">
        <v>120</v>
      </c>
      <c r="N18" s="30">
        <v>2500</v>
      </c>
      <c r="P18" s="96">
        <f>'SiO2_Thickness Table'!$P$55</f>
        <v>3379.7451020408166</v>
      </c>
      <c r="Q18" s="69">
        <f>'SiO2_Thickness Table'!$P$56</f>
        <v>3531.1</v>
      </c>
      <c r="R18" s="69">
        <f>'SiO2_Thickness Table'!$P$57</f>
        <v>3154.98</v>
      </c>
      <c r="S18" s="70">
        <f>'SiO2_Thickness Table'!$P$58</f>
        <v>5.6254187805111502E-2</v>
      </c>
      <c r="T18" s="81"/>
      <c r="U18" s="111">
        <f>'SiO2_Thickness Table'!$P$59</f>
        <v>3442.0256000000004</v>
      </c>
      <c r="V18" s="69">
        <f>'SiO2_Thickness Table'!$P$60</f>
        <v>3531.1</v>
      </c>
      <c r="W18" s="69">
        <f>'SiO2_Thickness Table'!$P$61</f>
        <v>3330.83</v>
      </c>
      <c r="X18" s="70">
        <f>'SiO2_Thickness Table'!$P$62</f>
        <v>2.9185666423294902E-2</v>
      </c>
    </row>
    <row r="19" spans="2:35" ht="18" thickBot="1">
      <c r="B19" s="56" t="s">
        <v>62</v>
      </c>
      <c r="C19" s="57">
        <v>200</v>
      </c>
      <c r="D19" s="90">
        <v>4400</v>
      </c>
      <c r="E19" s="57">
        <v>3000</v>
      </c>
      <c r="F19" s="57">
        <v>2250</v>
      </c>
      <c r="G19" s="57">
        <v>400</v>
      </c>
      <c r="H19" s="57">
        <v>400</v>
      </c>
      <c r="I19" s="57">
        <v>30</v>
      </c>
      <c r="J19" s="57">
        <v>2000</v>
      </c>
      <c r="K19" s="57">
        <v>3000</v>
      </c>
      <c r="L19" s="57">
        <v>3000</v>
      </c>
      <c r="M19" s="57">
        <v>120</v>
      </c>
      <c r="N19" s="58">
        <v>2500</v>
      </c>
      <c r="P19" s="97">
        <f>'SiO2_Thickness Table'!$Q$55</f>
        <v>3408.1048979591837</v>
      </c>
      <c r="Q19" s="98">
        <f>'SiO2_Thickness Table'!$Q$56</f>
        <v>3551.92</v>
      </c>
      <c r="R19" s="98">
        <f>'SiO2_Thickness Table'!$Q$57</f>
        <v>3184.77</v>
      </c>
      <c r="S19" s="99">
        <f>'SiO2_Thickness Table'!$Q$58</f>
        <v>5.4500058634136359E-2</v>
      </c>
      <c r="T19" s="81"/>
      <c r="U19" s="112">
        <f>'SiO2_Thickness Table'!$Q$59</f>
        <v>3464.3411999999998</v>
      </c>
      <c r="V19" s="98">
        <f>'SiO2_Thickness Table'!$Q$60</f>
        <v>3551.92</v>
      </c>
      <c r="W19" s="98">
        <f>'SiO2_Thickness Table'!$Q$61</f>
        <v>3356.17</v>
      </c>
      <c r="X19" s="99">
        <f>'SiO2_Thickness Table'!$Q$62</f>
        <v>2.8336341883212292E-2</v>
      </c>
    </row>
    <row r="20" spans="2:35" ht="18" thickTop="1">
      <c r="B20" s="73" t="s">
        <v>63</v>
      </c>
      <c r="C20" s="72">
        <v>200</v>
      </c>
      <c r="D20" s="72">
        <v>4000</v>
      </c>
      <c r="E20" s="88">
        <v>2700</v>
      </c>
      <c r="F20" s="72">
        <v>2250</v>
      </c>
      <c r="G20" s="72">
        <v>400</v>
      </c>
      <c r="H20" s="72">
        <v>400</v>
      </c>
      <c r="I20" s="72">
        <v>30</v>
      </c>
      <c r="J20" s="72">
        <v>2000</v>
      </c>
      <c r="K20" s="72">
        <v>3000</v>
      </c>
      <c r="L20" s="72">
        <v>3000</v>
      </c>
      <c r="M20" s="72">
        <v>120</v>
      </c>
      <c r="N20" s="89">
        <v>2500</v>
      </c>
      <c r="P20" s="100">
        <f>'SiO2_Thickness Table'!$R$55</f>
        <v>3444.7877551020415</v>
      </c>
      <c r="Q20" s="101">
        <f>'SiO2_Thickness Table'!$R$56</f>
        <v>3600.47</v>
      </c>
      <c r="R20" s="101">
        <f>'SiO2_Thickness Table'!$R$57</f>
        <v>3206.29</v>
      </c>
      <c r="S20" s="102">
        <f>'SiO2_Thickness Table'!$R$58</f>
        <v>5.7910077628710255E-2</v>
      </c>
      <c r="T20" s="81"/>
      <c r="U20" s="113">
        <f>'SiO2_Thickness Table'!$R$59</f>
        <v>3509.2052000000012</v>
      </c>
      <c r="V20" s="101">
        <f>'SiO2_Thickness Table'!$R$60</f>
        <v>3600.47</v>
      </c>
      <c r="W20" s="101">
        <f>'SiO2_Thickness Table'!$R$61</f>
        <v>3392.89</v>
      </c>
      <c r="X20" s="102">
        <f>'SiO2_Thickness Table'!$R$62</f>
        <v>2.9682441630346491E-2</v>
      </c>
    </row>
    <row r="21" spans="2:35">
      <c r="B21" s="50" t="s">
        <v>64</v>
      </c>
      <c r="C21" s="29">
        <v>200</v>
      </c>
      <c r="D21" s="29">
        <v>4000</v>
      </c>
      <c r="E21" s="59">
        <v>3000</v>
      </c>
      <c r="F21" s="29">
        <v>2250</v>
      </c>
      <c r="G21" s="29">
        <v>400</v>
      </c>
      <c r="H21" s="29">
        <v>400</v>
      </c>
      <c r="I21" s="29">
        <v>30</v>
      </c>
      <c r="J21" s="29">
        <v>2000</v>
      </c>
      <c r="K21" s="29">
        <v>3000</v>
      </c>
      <c r="L21" s="29">
        <v>3000</v>
      </c>
      <c r="M21" s="29">
        <v>120</v>
      </c>
      <c r="N21" s="30">
        <v>2500</v>
      </c>
      <c r="P21" s="96">
        <f>'SiO2_Thickness Table'!$S$55</f>
        <v>3390.2620408163257</v>
      </c>
      <c r="Q21" s="69">
        <f>'SiO2_Thickness Table'!$S$56</f>
        <v>3540.89</v>
      </c>
      <c r="R21" s="69">
        <f>'SiO2_Thickness Table'!$S$57</f>
        <v>3161.41</v>
      </c>
      <c r="S21" s="70">
        <f>'SiO2_Thickness Table'!$S$58</f>
        <v>5.6619369470181889E-2</v>
      </c>
      <c r="T21" s="81"/>
      <c r="U21" s="111">
        <f>'SiO2_Thickness Table'!$S$59</f>
        <v>3451.6887999999999</v>
      </c>
      <c r="V21" s="69">
        <f>'SiO2_Thickness Table'!$S$60</f>
        <v>3540.89</v>
      </c>
      <c r="W21" s="69">
        <f>'SiO2_Thickness Table'!$S$61</f>
        <v>3340.11</v>
      </c>
      <c r="X21" s="70">
        <f>'SiO2_Thickness Table'!$S$62</f>
        <v>2.9178898415927881E-2</v>
      </c>
    </row>
    <row r="22" spans="2:35" ht="18" thickBot="1">
      <c r="B22" s="56" t="s">
        <v>65</v>
      </c>
      <c r="C22" s="57">
        <v>200</v>
      </c>
      <c r="D22" s="57">
        <v>4000</v>
      </c>
      <c r="E22" s="90">
        <v>3300</v>
      </c>
      <c r="F22" s="57">
        <v>2250</v>
      </c>
      <c r="G22" s="57">
        <v>400</v>
      </c>
      <c r="H22" s="57">
        <v>400</v>
      </c>
      <c r="I22" s="57">
        <v>30</v>
      </c>
      <c r="J22" s="57">
        <v>2000</v>
      </c>
      <c r="K22" s="57">
        <v>3000</v>
      </c>
      <c r="L22" s="57">
        <v>3000</v>
      </c>
      <c r="M22" s="57">
        <v>120</v>
      </c>
      <c r="N22" s="58">
        <v>2500</v>
      </c>
      <c r="P22" s="97">
        <f>'SiO2_Thickness Table'!$T$55</f>
        <v>3324.3316326530617</v>
      </c>
      <c r="Q22" s="98">
        <f>'SiO2_Thickness Table'!$T$56</f>
        <v>3477.88</v>
      </c>
      <c r="R22" s="98">
        <f>'SiO2_Thickness Table'!$T$57</f>
        <v>3094.89</v>
      </c>
      <c r="S22" s="99">
        <f>'SiO2_Thickness Table'!$T$58</f>
        <v>5.826919244093437E-2</v>
      </c>
      <c r="T22" s="81"/>
      <c r="U22" s="112">
        <f>'SiO2_Thickness Table'!$T$59</f>
        <v>3384.3452000000002</v>
      </c>
      <c r="V22" s="98">
        <f>'SiO2_Thickness Table'!$T$60</f>
        <v>3477.88</v>
      </c>
      <c r="W22" s="98">
        <f>'SiO2_Thickness Table'!$T$61</f>
        <v>3268.31</v>
      </c>
      <c r="X22" s="99">
        <f>'SiO2_Thickness Table'!$T$62</f>
        <v>3.106494184124671E-2</v>
      </c>
    </row>
    <row r="23" spans="2:35" ht="18.600000000000001" thickTop="1" thickBot="1">
      <c r="B23" s="51" t="s">
        <v>66</v>
      </c>
      <c r="C23" s="33">
        <v>200</v>
      </c>
      <c r="D23" s="33">
        <v>4000</v>
      </c>
      <c r="E23" s="33">
        <v>3000</v>
      </c>
      <c r="F23" s="33">
        <v>2250</v>
      </c>
      <c r="G23" s="33">
        <v>400</v>
      </c>
      <c r="H23" s="60">
        <v>440</v>
      </c>
      <c r="I23" s="33">
        <v>30</v>
      </c>
      <c r="J23" s="33">
        <v>2000</v>
      </c>
      <c r="K23" s="33">
        <v>3000</v>
      </c>
      <c r="L23" s="33">
        <v>3000</v>
      </c>
      <c r="M23" s="33">
        <v>120</v>
      </c>
      <c r="N23" s="34">
        <v>2500</v>
      </c>
      <c r="P23" s="103">
        <f>'SiO2_Thickness Table'!$U$55</f>
        <v>3401.8393877551025</v>
      </c>
      <c r="Q23" s="104">
        <f>'SiO2_Thickness Table'!$U$56</f>
        <v>3570.83</v>
      </c>
      <c r="R23" s="104">
        <f>'SiO2_Thickness Table'!$U$57</f>
        <v>3159.13</v>
      </c>
      <c r="S23" s="105">
        <f>'SiO2_Thickness Table'!$U$58</f>
        <v>6.1174212030977872E-2</v>
      </c>
      <c r="T23" s="81"/>
      <c r="U23" s="114">
        <f>'SiO2_Thickness Table'!$U$59</f>
        <v>3480.0932000000007</v>
      </c>
      <c r="V23" s="104">
        <f>'SiO2_Thickness Table'!$U$60</f>
        <v>3570.83</v>
      </c>
      <c r="W23" s="104">
        <f>'SiO2_Thickness Table'!$U$61</f>
        <v>3366.63</v>
      </c>
      <c r="X23" s="105">
        <f>'SiO2_Thickness Table'!$U$62</f>
        <v>2.9434403946112814E-2</v>
      </c>
    </row>
    <row r="28" spans="2:35">
      <c r="B28" s="43"/>
      <c r="C28" s="43"/>
    </row>
    <row r="29" spans="2:35">
      <c r="B29" s="43"/>
      <c r="C29" s="43"/>
      <c r="T29" s="43"/>
      <c r="AG29" s="43"/>
      <c r="AH29" s="43"/>
      <c r="AI29" s="43"/>
    </row>
    <row r="30" spans="2:35">
      <c r="B30" s="43"/>
      <c r="C30" s="43"/>
    </row>
    <row r="31" spans="2:35">
      <c r="B31" s="43"/>
      <c r="C31" s="43"/>
      <c r="E31" s="43"/>
    </row>
    <row r="32" spans="2:35">
      <c r="B32" s="43"/>
      <c r="C32" s="43"/>
      <c r="E32" s="43"/>
    </row>
    <row r="33" spans="2:5">
      <c r="B33" s="43"/>
      <c r="C33" s="43"/>
      <c r="E33" s="43"/>
    </row>
    <row r="34" spans="2:5">
      <c r="B34" s="43"/>
      <c r="C34" s="43"/>
      <c r="E34" s="43"/>
    </row>
    <row r="35" spans="2:5">
      <c r="B35" s="43"/>
      <c r="C35" s="43"/>
      <c r="E35" s="43"/>
    </row>
    <row r="36" spans="2:5">
      <c r="B36" s="43"/>
      <c r="C36" s="43"/>
      <c r="E36" s="43"/>
    </row>
    <row r="37" spans="2:5">
      <c r="B37" s="43"/>
      <c r="C37" s="43"/>
      <c r="E37" s="43"/>
    </row>
    <row r="38" spans="2:5">
      <c r="B38" s="43"/>
      <c r="C38" s="43"/>
      <c r="E38" s="43"/>
    </row>
    <row r="39" spans="2:5">
      <c r="B39" s="43"/>
      <c r="C39" s="43"/>
      <c r="E39" s="43"/>
    </row>
    <row r="40" spans="2:5">
      <c r="B40" s="43"/>
      <c r="C40" s="43"/>
      <c r="E40" s="43"/>
    </row>
    <row r="41" spans="2:5">
      <c r="B41" s="43"/>
      <c r="C41" s="43"/>
      <c r="E41" s="43"/>
    </row>
    <row r="42" spans="2:5">
      <c r="B42" s="43"/>
      <c r="C42" s="43"/>
      <c r="E42" s="43"/>
    </row>
    <row r="43" spans="2:5">
      <c r="B43" s="43"/>
      <c r="C43" s="43"/>
      <c r="E43" s="43"/>
    </row>
    <row r="44" spans="2:5">
      <c r="B44" s="43"/>
      <c r="C44" s="43"/>
      <c r="E44" s="43"/>
    </row>
    <row r="45" spans="2:5">
      <c r="B45" s="43"/>
      <c r="C45" s="43"/>
      <c r="E45" s="43"/>
    </row>
    <row r="46" spans="2:5">
      <c r="C46" s="43"/>
      <c r="E46" s="43"/>
    </row>
    <row r="47" spans="2:5">
      <c r="E47" s="43"/>
    </row>
    <row r="48" spans="2:5">
      <c r="E48" s="43"/>
    </row>
    <row r="53" spans="2:20">
      <c r="B53" s="43"/>
    </row>
    <row r="54" spans="2:20">
      <c r="B54" s="43"/>
    </row>
    <row r="55" spans="2:20">
      <c r="B55" s="43"/>
    </row>
    <row r="56" spans="2:20">
      <c r="B56" s="43"/>
    </row>
    <row r="57" spans="2:20">
      <c r="B57" s="43"/>
    </row>
    <row r="58" spans="2:20">
      <c r="B58" s="43"/>
    </row>
    <row r="59" spans="2:20">
      <c r="B59" s="43"/>
    </row>
    <row r="60" spans="2:20">
      <c r="B60" s="43"/>
    </row>
    <row r="61" spans="2:20">
      <c r="B61" s="43"/>
    </row>
    <row r="62" spans="2:20">
      <c r="B62" s="43"/>
      <c r="M62" s="43"/>
      <c r="N62" s="43"/>
      <c r="O62" s="43"/>
      <c r="P62" s="43"/>
      <c r="Q62" s="43"/>
      <c r="R62" s="43"/>
      <c r="S62" s="43"/>
      <c r="T62" s="43"/>
    </row>
    <row r="63" spans="2:20">
      <c r="B63" s="43"/>
      <c r="M63" s="43"/>
      <c r="N63" s="43"/>
      <c r="O63" s="43"/>
      <c r="P63" s="43"/>
      <c r="Q63" s="43"/>
      <c r="R63" s="43"/>
      <c r="S63" s="43"/>
      <c r="T63" s="43"/>
    </row>
    <row r="64" spans="2:20">
      <c r="B64" s="43"/>
      <c r="M64" s="22"/>
      <c r="N64" s="22"/>
      <c r="O64" s="22"/>
      <c r="P64" s="22"/>
      <c r="Q64" s="22"/>
      <c r="R64" s="22"/>
      <c r="S64" s="22"/>
      <c r="T64" s="22"/>
    </row>
    <row r="65" spans="2:16">
      <c r="B65" s="43"/>
    </row>
    <row r="66" spans="2:16">
      <c r="B66" s="43"/>
    </row>
    <row r="67" spans="2:16">
      <c r="B67" s="43"/>
    </row>
    <row r="68" spans="2:16">
      <c r="B68" s="43"/>
    </row>
    <row r="69" spans="2:16">
      <c r="B69" s="43"/>
    </row>
    <row r="70" spans="2:16">
      <c r="B70" s="43"/>
    </row>
    <row r="71" spans="2:16">
      <c r="B71" s="43"/>
    </row>
    <row r="72" spans="2:16">
      <c r="B72" s="43"/>
    </row>
    <row r="73" spans="2:16">
      <c r="N73" s="43"/>
      <c r="O73" s="43"/>
      <c r="P73" s="22"/>
    </row>
    <row r="74" spans="2:16">
      <c r="N74" s="43"/>
      <c r="O74" s="43"/>
      <c r="P74" s="22"/>
    </row>
    <row r="75" spans="2:16">
      <c r="N75" s="43"/>
      <c r="O75" s="43"/>
      <c r="P75" s="22"/>
    </row>
    <row r="76" spans="2:16">
      <c r="N76" s="43"/>
      <c r="O76" s="43"/>
      <c r="P76" s="22"/>
    </row>
    <row r="77" spans="2:16">
      <c r="N77" s="43"/>
      <c r="O77" s="43"/>
      <c r="P77" s="22"/>
    </row>
    <row r="78" spans="2:16">
      <c r="N78" s="43"/>
      <c r="O78" s="43"/>
      <c r="P78" s="22"/>
    </row>
    <row r="79" spans="2:16">
      <c r="N79" s="43"/>
      <c r="O79" s="43"/>
      <c r="P79" s="22"/>
    </row>
    <row r="80" spans="2:16">
      <c r="N80" s="43"/>
      <c r="O80" s="43"/>
      <c r="P80" s="22"/>
    </row>
    <row r="81" spans="14:16">
      <c r="N81" s="43"/>
      <c r="O81" s="43"/>
      <c r="P81" s="22"/>
    </row>
    <row r="82" spans="14:16">
      <c r="N82" s="43"/>
      <c r="O82" s="43"/>
      <c r="P82" s="22"/>
    </row>
    <row r="83" spans="14:16">
      <c r="N83" s="43"/>
      <c r="O83" s="43"/>
      <c r="P83" s="22"/>
    </row>
    <row r="84" spans="14:16">
      <c r="N84" s="43"/>
      <c r="O84" s="43"/>
      <c r="P84" s="22"/>
    </row>
    <row r="85" spans="14:16">
      <c r="N85" s="43"/>
      <c r="O85" s="43"/>
      <c r="P85" s="22"/>
    </row>
    <row r="86" spans="14:16">
      <c r="N86" s="43"/>
      <c r="O86" s="43"/>
      <c r="P86" s="22"/>
    </row>
    <row r="87" spans="14:16">
      <c r="N87" s="43"/>
      <c r="O87" s="43"/>
      <c r="P87" s="22"/>
    </row>
    <row r="88" spans="14:16">
      <c r="N88" s="43"/>
      <c r="O88" s="43"/>
      <c r="P88" s="22"/>
    </row>
    <row r="89" spans="14:16">
      <c r="N89" s="43"/>
      <c r="O89" s="43"/>
      <c r="P89" s="22"/>
    </row>
    <row r="90" spans="14:16">
      <c r="N90" s="43"/>
      <c r="O90" s="43"/>
      <c r="P90" s="22"/>
    </row>
    <row r="91" spans="14:16">
      <c r="N91" s="43"/>
      <c r="O91" s="43"/>
      <c r="P91" s="22"/>
    </row>
    <row r="92" spans="14:16">
      <c r="N92" s="43"/>
      <c r="O92" s="43"/>
      <c r="P92" s="22"/>
    </row>
  </sheetData>
  <mergeCells count="22">
    <mergeCell ref="U2:X2"/>
    <mergeCell ref="U3:U4"/>
    <mergeCell ref="V3:V4"/>
    <mergeCell ref="W3:W4"/>
    <mergeCell ref="X3:X4"/>
    <mergeCell ref="P3:P4"/>
    <mergeCell ref="Q3:Q4"/>
    <mergeCell ref="R3:R4"/>
    <mergeCell ref="S3:S4"/>
    <mergeCell ref="P2:S2"/>
    <mergeCell ref="M3:M4"/>
    <mergeCell ref="N3:N4"/>
    <mergeCell ref="B2:B4"/>
    <mergeCell ref="J2:N2"/>
    <mergeCell ref="C3:E3"/>
    <mergeCell ref="C2:I2"/>
    <mergeCell ref="L3:L4"/>
    <mergeCell ref="F3:F4"/>
    <mergeCell ref="G3:G4"/>
    <mergeCell ref="H3:H4"/>
    <mergeCell ref="I3:I4"/>
    <mergeCell ref="J3:K3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5"/>
  <sheetViews>
    <sheetView workbookViewId="0">
      <selection activeCell="I22" sqref="I22"/>
    </sheetView>
  </sheetViews>
  <sheetFormatPr defaultRowHeight="17.399999999999999"/>
  <cols>
    <col min="2" max="2" width="16" bestFit="1" customWidth="1"/>
    <col min="3" max="3" width="12.59765625" bestFit="1" customWidth="1"/>
    <col min="4" max="4" width="19.8984375" bestFit="1" customWidth="1"/>
    <col min="6" max="6" width="16.5" bestFit="1" customWidth="1"/>
    <col min="7" max="7" width="12.69921875" bestFit="1" customWidth="1"/>
    <col min="8" max="8" width="19.8984375" bestFit="1" customWidth="1"/>
    <col min="14" max="14" width="18.8984375" bestFit="1" customWidth="1"/>
    <col min="15" max="15" width="12.59765625" bestFit="1" customWidth="1"/>
    <col min="16" max="16" width="19.8984375" bestFit="1" customWidth="1"/>
    <col min="18" max="18" width="16.8984375" bestFit="1" customWidth="1"/>
    <col min="19" max="19" width="12.59765625" bestFit="1" customWidth="1"/>
    <col min="20" max="20" width="19.8984375" bestFit="1" customWidth="1"/>
  </cols>
  <sheetData>
    <row r="1" spans="2:20" ht="18" thickBot="1"/>
    <row r="2" spans="2:20" ht="21.6" thickBot="1">
      <c r="B2" s="162" t="s">
        <v>72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4"/>
    </row>
    <row r="3" spans="2:20">
      <c r="B3" s="165" t="s">
        <v>37</v>
      </c>
      <c r="C3" s="146"/>
      <c r="D3" s="146"/>
      <c r="E3" s="146"/>
      <c r="F3" s="146"/>
      <c r="G3" s="146"/>
      <c r="H3" s="147"/>
      <c r="I3" s="140" t="s">
        <v>38</v>
      </c>
      <c r="J3" s="140"/>
      <c r="K3" s="140"/>
      <c r="L3" s="140"/>
      <c r="M3" s="141"/>
    </row>
    <row r="4" spans="2:20">
      <c r="B4" s="166" t="s">
        <v>39</v>
      </c>
      <c r="C4" s="143"/>
      <c r="D4" s="144"/>
      <c r="E4" s="133" t="s">
        <v>40</v>
      </c>
      <c r="F4" s="133" t="s">
        <v>41</v>
      </c>
      <c r="G4" s="167" t="s">
        <v>42</v>
      </c>
      <c r="H4" s="133" t="s">
        <v>43</v>
      </c>
      <c r="I4" s="149" t="s">
        <v>39</v>
      </c>
      <c r="J4" s="149"/>
      <c r="K4" s="133" t="s">
        <v>41</v>
      </c>
      <c r="L4" s="133" t="s">
        <v>43</v>
      </c>
      <c r="M4" s="135" t="s">
        <v>40</v>
      </c>
    </row>
    <row r="5" spans="2:20" ht="18" thickBot="1">
      <c r="B5" s="52" t="s">
        <v>44</v>
      </c>
      <c r="C5" s="46" t="s">
        <v>45</v>
      </c>
      <c r="D5" s="46" t="s">
        <v>46</v>
      </c>
      <c r="E5" s="134"/>
      <c r="F5" s="134"/>
      <c r="G5" s="148"/>
      <c r="H5" s="134"/>
      <c r="I5" s="46" t="s">
        <v>47</v>
      </c>
      <c r="J5" s="46" t="s">
        <v>48</v>
      </c>
      <c r="K5" s="134"/>
      <c r="L5" s="134"/>
      <c r="M5" s="136"/>
    </row>
    <row r="6" spans="2:20" ht="18" thickBot="1">
      <c r="B6" s="53">
        <v>200</v>
      </c>
      <c r="C6" s="54">
        <v>4000</v>
      </c>
      <c r="D6" s="54">
        <v>3000</v>
      </c>
      <c r="E6" s="54">
        <v>2250</v>
      </c>
      <c r="F6" s="54">
        <v>400</v>
      </c>
      <c r="G6" s="54">
        <v>360</v>
      </c>
      <c r="H6" s="54">
        <v>30</v>
      </c>
      <c r="I6" s="54">
        <v>2000</v>
      </c>
      <c r="J6" s="54">
        <v>3000</v>
      </c>
      <c r="K6" s="54">
        <v>3000</v>
      </c>
      <c r="L6" s="54">
        <v>120</v>
      </c>
      <c r="M6" s="55">
        <v>2500</v>
      </c>
    </row>
    <row r="8" spans="2:20" ht="18" thickBot="1"/>
    <row r="9" spans="2:20" ht="25.2">
      <c r="B9" s="168" t="s">
        <v>92</v>
      </c>
      <c r="C9" s="169"/>
      <c r="D9" s="169"/>
      <c r="E9" s="169"/>
      <c r="F9" s="169"/>
      <c r="G9" s="169"/>
      <c r="H9" s="170"/>
      <c r="N9" s="168" t="s">
        <v>93</v>
      </c>
      <c r="O9" s="169"/>
      <c r="P9" s="169"/>
      <c r="Q9" s="169"/>
      <c r="R9" s="169"/>
      <c r="S9" s="169"/>
      <c r="T9" s="170"/>
    </row>
    <row r="10" spans="2:20">
      <c r="B10" s="50"/>
      <c r="C10" s="29"/>
      <c r="D10" s="29"/>
      <c r="E10" s="29"/>
      <c r="F10" s="29"/>
      <c r="G10" s="29"/>
      <c r="H10" s="30"/>
      <c r="N10" s="50"/>
      <c r="O10" s="29"/>
      <c r="P10" s="29"/>
      <c r="Q10" s="29"/>
      <c r="R10" s="29"/>
      <c r="S10" s="29"/>
      <c r="T10" s="30"/>
    </row>
    <row r="11" spans="2:20" ht="19.2">
      <c r="B11" s="159" t="s">
        <v>86</v>
      </c>
      <c r="C11" s="160"/>
      <c r="D11" s="160"/>
      <c r="E11" s="29"/>
      <c r="F11" s="160" t="s">
        <v>91</v>
      </c>
      <c r="G11" s="160"/>
      <c r="H11" s="161"/>
      <c r="N11" s="171" t="s">
        <v>98</v>
      </c>
      <c r="O11" s="172"/>
      <c r="P11" s="172"/>
      <c r="Q11" s="29"/>
      <c r="R11" s="172" t="s">
        <v>99</v>
      </c>
      <c r="S11" s="172"/>
      <c r="T11" s="173"/>
    </row>
    <row r="12" spans="2:20">
      <c r="B12" s="50"/>
      <c r="C12" s="29"/>
      <c r="D12" s="29"/>
      <c r="E12" s="29"/>
      <c r="F12" s="29"/>
      <c r="G12" s="29"/>
      <c r="H12" s="30"/>
      <c r="N12" s="50" t="s">
        <v>36</v>
      </c>
      <c r="O12" s="29" t="s">
        <v>75</v>
      </c>
      <c r="P12" s="29" t="s">
        <v>76</v>
      </c>
      <c r="Q12" s="29"/>
      <c r="R12" s="29" t="s">
        <v>36</v>
      </c>
      <c r="S12" s="29" t="s">
        <v>75</v>
      </c>
      <c r="T12" s="30" t="s">
        <v>76</v>
      </c>
    </row>
    <row r="13" spans="2:20" ht="19.2">
      <c r="B13" s="159" t="s">
        <v>73</v>
      </c>
      <c r="C13" s="160"/>
      <c r="D13" s="160"/>
      <c r="E13" s="29"/>
      <c r="F13" s="160" t="s">
        <v>73</v>
      </c>
      <c r="G13" s="160"/>
      <c r="H13" s="161"/>
      <c r="N13" s="50" t="s">
        <v>95</v>
      </c>
      <c r="O13" s="115">
        <f>'SiO2_Thickness Table'!$V$55</f>
        <v>3259.0153061224496</v>
      </c>
      <c r="P13" s="39">
        <f>'SiO2_Thickness Table'!$V$58</f>
        <v>5.813845005597712E-2</v>
      </c>
      <c r="Q13" s="29"/>
      <c r="R13" s="29" t="s">
        <v>96</v>
      </c>
      <c r="S13" s="115">
        <f>'SiO2_Thickness Table'!$E$55</f>
        <v>3327.2769387755102</v>
      </c>
      <c r="T13" s="70">
        <f>'SiO2_Thickness Table'!$E$58</f>
        <v>6.0951056230320787E-2</v>
      </c>
    </row>
    <row r="14" spans="2:20">
      <c r="B14" s="50" t="s">
        <v>74</v>
      </c>
      <c r="C14" s="29" t="s">
        <v>75</v>
      </c>
      <c r="D14" s="29" t="s">
        <v>76</v>
      </c>
      <c r="E14" s="29"/>
      <c r="F14" s="29" t="s">
        <v>74</v>
      </c>
      <c r="G14" s="29" t="s">
        <v>75</v>
      </c>
      <c r="H14" s="30" t="s">
        <v>76</v>
      </c>
      <c r="N14" s="50" t="s">
        <v>49</v>
      </c>
      <c r="O14" s="116">
        <f>'SiO2_Thickness Table'!$D$55</f>
        <v>3282.6626530612239</v>
      </c>
      <c r="P14" s="39">
        <f>'SiO2_Thickness Table'!$D$58</f>
        <v>5.6492704124842079E-2</v>
      </c>
      <c r="Q14" s="29"/>
      <c r="R14" s="29" t="s">
        <v>52</v>
      </c>
      <c r="S14" s="115">
        <f>'SiO2_Thickness Table'!$G$55</f>
        <v>3357.9459183673453</v>
      </c>
      <c r="T14" s="70">
        <f>'SiO2_Thickness Table'!$G$58</f>
        <v>5.7003181313808847E-2</v>
      </c>
    </row>
    <row r="15" spans="2:20">
      <c r="B15" s="50">
        <v>360</v>
      </c>
      <c r="C15" s="116">
        <f>'SiO2_Thickness Table'!$F$55</f>
        <v>3145.4934693877549</v>
      </c>
      <c r="D15" s="39">
        <f>'SiO2_Thickness Table'!$F$58</f>
        <v>6.3101690023410179E-2</v>
      </c>
      <c r="E15" s="29"/>
      <c r="F15" s="29">
        <v>360</v>
      </c>
      <c r="G15" s="119">
        <f>'SiO2_Thickness Table'!$F$59</f>
        <v>3209.9159999999993</v>
      </c>
      <c r="H15" s="93">
        <f>'SiO2_Thickness Table'!$F$62</f>
        <v>3.5844461005107291E-2</v>
      </c>
      <c r="N15" s="50"/>
      <c r="O15" s="29"/>
      <c r="P15" s="39"/>
      <c r="Q15" s="29"/>
      <c r="R15" s="29" t="s">
        <v>97</v>
      </c>
      <c r="S15" s="115">
        <f>'SiO2_Thickness Table'!$I$55</f>
        <v>3367.9642857142858</v>
      </c>
      <c r="T15" s="61">
        <f>'SiO2_Thickness Table'!$I$58</f>
        <v>5.8490716272026282E-2</v>
      </c>
    </row>
    <row r="16" spans="2:20">
      <c r="B16" s="50">
        <v>400</v>
      </c>
      <c r="C16" s="115">
        <f>'SiO2_Thickness Table'!$G$55</f>
        <v>3357.9459183673453</v>
      </c>
      <c r="D16" s="71">
        <f>'SiO2_Thickness Table'!$G$58</f>
        <v>5.7003181313808847E-2</v>
      </c>
      <c r="E16" s="29"/>
      <c r="F16" s="29">
        <v>400</v>
      </c>
      <c r="G16" s="120">
        <f>'SiO2_Thickness Table'!$G$59</f>
        <v>3421.4919999999997</v>
      </c>
      <c r="H16" s="75">
        <f>'SiO2_Thickness Table'!$G$62</f>
        <v>2.9659929395786919E-2</v>
      </c>
      <c r="N16" s="50"/>
      <c r="O16" s="29"/>
      <c r="P16" s="29"/>
      <c r="Q16" s="29"/>
      <c r="R16" s="29" t="s">
        <v>58</v>
      </c>
      <c r="S16" s="115">
        <f>'SiO2_Thickness Table'!$M$55</f>
        <v>3375.5532653061227</v>
      </c>
      <c r="T16" s="70">
        <f>'SiO2_Thickness Table'!$M$58</f>
        <v>5.6060304187407969E-2</v>
      </c>
    </row>
    <row r="17" spans="2:22">
      <c r="B17" s="50">
        <v>440</v>
      </c>
      <c r="C17" s="116">
        <f>'SiO2_Thickness Table'!$H$55</f>
        <v>3509.9308163265296</v>
      </c>
      <c r="D17" s="39">
        <f>'SiO2_Thickness Table'!$H$58</f>
        <v>5.4162715830914747E-2</v>
      </c>
      <c r="E17" s="29"/>
      <c r="F17" s="29">
        <v>440</v>
      </c>
      <c r="G17" s="121">
        <f>'SiO2_Thickness Table'!$H$59</f>
        <v>3571.7231999999999</v>
      </c>
      <c r="H17" s="122">
        <f>'SiO2_Thickness Table'!$H$62</f>
        <v>2.7686619164287791E-2</v>
      </c>
      <c r="N17" s="50"/>
      <c r="O17" s="29"/>
      <c r="P17" s="29"/>
      <c r="Q17" s="29"/>
      <c r="R17" s="29" t="s">
        <v>61</v>
      </c>
      <c r="S17" s="115">
        <f>'SiO2_Thickness Table'!$P$55</f>
        <v>3379.7451020408166</v>
      </c>
      <c r="T17" s="70">
        <f>'SiO2_Thickness Table'!$P$58</f>
        <v>5.6254187805111502E-2</v>
      </c>
    </row>
    <row r="18" spans="2:22">
      <c r="B18" s="50"/>
      <c r="C18" s="29"/>
      <c r="D18" s="29"/>
      <c r="E18" s="29"/>
      <c r="F18" s="29"/>
      <c r="G18" s="29"/>
      <c r="H18" s="30"/>
      <c r="N18" s="50"/>
      <c r="O18" s="29"/>
      <c r="P18" s="29"/>
      <c r="Q18" s="29"/>
      <c r="R18" s="29" t="s">
        <v>64</v>
      </c>
      <c r="S18" s="115">
        <f>'SiO2_Thickness Table'!$S$55</f>
        <v>3390.2620408163257</v>
      </c>
      <c r="T18" s="70">
        <f>'SiO2_Thickness Table'!$S$58</f>
        <v>5.6619369470181889E-2</v>
      </c>
    </row>
    <row r="19" spans="2:22" ht="19.2">
      <c r="B19" s="159" t="s">
        <v>77</v>
      </c>
      <c r="C19" s="160"/>
      <c r="D19" s="160"/>
      <c r="E19" s="29"/>
      <c r="F19" s="160" t="s">
        <v>77</v>
      </c>
      <c r="G19" s="160"/>
      <c r="H19" s="161"/>
      <c r="N19" s="50"/>
      <c r="O19" s="29"/>
      <c r="P19" s="29"/>
      <c r="Q19" s="29"/>
      <c r="R19" s="29"/>
      <c r="S19" s="29"/>
      <c r="T19" s="30"/>
    </row>
    <row r="20" spans="2:22">
      <c r="B20" s="50" t="s">
        <v>78</v>
      </c>
      <c r="C20" s="29" t="s">
        <v>75</v>
      </c>
      <c r="D20" s="29" t="s">
        <v>76</v>
      </c>
      <c r="E20" s="29"/>
      <c r="F20" s="29" t="s">
        <v>78</v>
      </c>
      <c r="G20" s="29" t="s">
        <v>75</v>
      </c>
      <c r="H20" s="30" t="s">
        <v>76</v>
      </c>
      <c r="N20" s="171" t="s">
        <v>100</v>
      </c>
      <c r="O20" s="172"/>
      <c r="P20" s="172"/>
      <c r="Q20" s="29"/>
      <c r="R20" s="172" t="s">
        <v>101</v>
      </c>
      <c r="S20" s="172"/>
      <c r="T20" s="173"/>
    </row>
    <row r="21" spans="2:22">
      <c r="B21" s="50">
        <v>2250</v>
      </c>
      <c r="C21" s="115">
        <f>'SiO2_Thickness Table'!$I$55</f>
        <v>3367.9642857142858</v>
      </c>
      <c r="D21" s="39">
        <f>'SiO2_Thickness Table'!$I$58</f>
        <v>5.8490716272026282E-2</v>
      </c>
      <c r="E21" s="29"/>
      <c r="F21" s="29">
        <v>2250</v>
      </c>
      <c r="G21" s="116">
        <f>'SiO2_Thickness Table'!$I$59</f>
        <v>3431.1208000000001</v>
      </c>
      <c r="H21" s="61">
        <f>'SiO2_Thickness Table'!$I$62</f>
        <v>3.100960096229128E-2</v>
      </c>
      <c r="N21" s="50" t="s">
        <v>36</v>
      </c>
      <c r="O21" s="29" t="s">
        <v>75</v>
      </c>
      <c r="P21" s="29" t="s">
        <v>76</v>
      </c>
      <c r="Q21" s="29"/>
      <c r="R21" s="29" t="s">
        <v>36</v>
      </c>
      <c r="S21" s="29" t="s">
        <v>75</v>
      </c>
      <c r="T21" s="30" t="s">
        <v>76</v>
      </c>
    </row>
    <row r="22" spans="2:22">
      <c r="B22" s="50">
        <v>2500</v>
      </c>
      <c r="C22" s="115">
        <f>'SiO2_Thickness Table'!$J$55</f>
        <v>3607.3010204081638</v>
      </c>
      <c r="D22" s="71">
        <f>'SiO2_Thickness Table'!$J$58</f>
        <v>5.2750252681090459E-2</v>
      </c>
      <c r="E22" s="29"/>
      <c r="F22" s="29">
        <v>2500</v>
      </c>
      <c r="G22" s="115">
        <f>'SiO2_Thickness Table'!$J$59</f>
        <v>3670.4743999999996</v>
      </c>
      <c r="H22" s="70">
        <f>'SiO2_Thickness Table'!$J$62</f>
        <v>2.5549169518472744E-2</v>
      </c>
      <c r="N22" s="50" t="s">
        <v>95</v>
      </c>
      <c r="O22" s="115">
        <f>'SiO2_Thickness Table'!$V$59</f>
        <v>3311.481600000001</v>
      </c>
      <c r="P22" s="39">
        <f>'SiO2_Thickness Table'!$V$62</f>
        <v>3.2085950794262325E-2</v>
      </c>
      <c r="Q22" s="29"/>
      <c r="R22" s="29" t="s">
        <v>96</v>
      </c>
      <c r="S22" s="116">
        <f>'SiO2_Thickness Table'!$E$59</f>
        <v>3392.3395999999998</v>
      </c>
      <c r="T22" s="61">
        <f>'SiO2_Thickness Table'!$E$62</f>
        <v>3.1819587865368794E-2</v>
      </c>
    </row>
    <row r="23" spans="2:22">
      <c r="B23" s="50">
        <v>2750</v>
      </c>
      <c r="C23" s="115">
        <f>'SiO2_Thickness Table'!$K$55</f>
        <v>3705.5000000000005</v>
      </c>
      <c r="D23" s="71">
        <f>'SiO2_Thickness Table'!$K$58</f>
        <v>6.0542620035728655E-2</v>
      </c>
      <c r="E23" s="29"/>
      <c r="F23" s="29">
        <v>2750</v>
      </c>
      <c r="G23" s="115">
        <f>'SiO2_Thickness Table'!$K$59</f>
        <v>3768.8128000000002</v>
      </c>
      <c r="H23" s="70">
        <f>'SiO2_Thickness Table'!$K$62</f>
        <v>3.4487093417923997E-2</v>
      </c>
      <c r="N23" s="50" t="s">
        <v>49</v>
      </c>
      <c r="O23" s="116">
        <f>'SiO2_Thickness Table'!$D$59</f>
        <v>3332.0371999999998</v>
      </c>
      <c r="P23" s="39">
        <f>'SiO2_Thickness Table'!$D$62</f>
        <v>3.1591029250283557E-2</v>
      </c>
      <c r="Q23" s="29"/>
      <c r="R23" s="29" t="s">
        <v>52</v>
      </c>
      <c r="S23" s="116">
        <f>'SiO2_Thickness Table'!$G$59</f>
        <v>3421.4919999999997</v>
      </c>
      <c r="T23" s="61">
        <f>'SiO2_Thickness Table'!$G$62</f>
        <v>2.9659929395786919E-2</v>
      </c>
    </row>
    <row r="24" spans="2:22">
      <c r="B24" s="50"/>
      <c r="C24" s="29"/>
      <c r="D24" s="29"/>
      <c r="E24" s="29"/>
      <c r="F24" s="29"/>
      <c r="G24" s="29"/>
      <c r="H24" s="30"/>
      <c r="N24" s="50"/>
      <c r="O24" s="29"/>
      <c r="P24" s="39"/>
      <c r="Q24" s="29"/>
      <c r="R24" s="29" t="s">
        <v>97</v>
      </c>
      <c r="S24" s="116">
        <f>'SiO2_Thickness Table'!$I$59</f>
        <v>3431.1208000000001</v>
      </c>
      <c r="T24" s="61">
        <f>'SiO2_Thickness Table'!$I$62</f>
        <v>3.100960096229128E-2</v>
      </c>
    </row>
    <row r="25" spans="2:22" ht="19.2">
      <c r="B25" s="159" t="s">
        <v>79</v>
      </c>
      <c r="C25" s="160"/>
      <c r="D25" s="160"/>
      <c r="E25" s="29"/>
      <c r="F25" s="160" t="s">
        <v>79</v>
      </c>
      <c r="G25" s="160"/>
      <c r="H25" s="161"/>
      <c r="N25" s="50"/>
      <c r="O25" s="29"/>
      <c r="P25" s="29"/>
      <c r="Q25" s="29"/>
      <c r="R25" s="29" t="s">
        <v>58</v>
      </c>
      <c r="S25" s="115">
        <f>'SiO2_Thickness Table'!$M$59</f>
        <v>3437.9115999999999</v>
      </c>
      <c r="T25" s="70">
        <f>'SiO2_Thickness Table'!$M$62</f>
        <v>2.9013494478867887E-2</v>
      </c>
    </row>
    <row r="26" spans="2:22">
      <c r="B26" s="50" t="s">
        <v>81</v>
      </c>
      <c r="C26" s="29" t="s">
        <v>75</v>
      </c>
      <c r="D26" s="29" t="s">
        <v>76</v>
      </c>
      <c r="E26" s="29"/>
      <c r="F26" s="29" t="s">
        <v>81</v>
      </c>
      <c r="G26" s="29" t="s">
        <v>75</v>
      </c>
      <c r="H26" s="30" t="s">
        <v>76</v>
      </c>
      <c r="N26" s="50"/>
      <c r="O26" s="29"/>
      <c r="P26" s="29"/>
      <c r="Q26" s="29"/>
      <c r="R26" s="29" t="s">
        <v>61</v>
      </c>
      <c r="S26" s="115">
        <f>'SiO2_Thickness Table'!$P$59</f>
        <v>3442.0256000000004</v>
      </c>
      <c r="T26" s="70">
        <f>'SiO2_Thickness Table'!$P$62</f>
        <v>2.9185666423294902E-2</v>
      </c>
    </row>
    <row r="27" spans="2:22" ht="18" thickBot="1">
      <c r="B27" s="50">
        <v>360</v>
      </c>
      <c r="C27" s="116">
        <f>'SiO2_Thickness Table'!$D$55</f>
        <v>3282.6626530612239</v>
      </c>
      <c r="D27" s="39">
        <f>'SiO2_Thickness Table'!$D$58</f>
        <v>5.6492704124842079E-2</v>
      </c>
      <c r="E27" s="29"/>
      <c r="F27" s="29">
        <v>360</v>
      </c>
      <c r="G27" s="116">
        <f>'SiO2_Thickness Table'!$D$59</f>
        <v>3332.0371999999998</v>
      </c>
      <c r="H27" s="61">
        <f>'SiO2_Thickness Table'!$D$62</f>
        <v>3.1591029250283557E-2</v>
      </c>
      <c r="N27" s="51"/>
      <c r="O27" s="33"/>
      <c r="P27" s="33"/>
      <c r="Q27" s="33"/>
      <c r="R27" s="33" t="s">
        <v>64</v>
      </c>
      <c r="S27" s="117">
        <f>'SiO2_Thickness Table'!$S$59</f>
        <v>3451.6887999999999</v>
      </c>
      <c r="T27" s="118">
        <f>'SiO2_Thickness Table'!$S$62</f>
        <v>2.9178898415927881E-2</v>
      </c>
    </row>
    <row r="28" spans="2:22">
      <c r="B28" s="50">
        <v>400</v>
      </c>
      <c r="C28" s="115">
        <f>'SiO2_Thickness Table'!$E$55</f>
        <v>3327.2769387755102</v>
      </c>
      <c r="D28" s="71">
        <f>'SiO2_Thickness Table'!$E$58</f>
        <v>6.0951056230320787E-2</v>
      </c>
      <c r="E28" s="29"/>
      <c r="F28" s="29">
        <v>400</v>
      </c>
      <c r="G28" s="116">
        <f>'SiO2_Thickness Table'!$E$59</f>
        <v>3392.3395999999998</v>
      </c>
      <c r="H28" s="61">
        <f>'SiO2_Thickness Table'!$E$62</f>
        <v>3.1819587865368794E-2</v>
      </c>
      <c r="O28" s="43"/>
      <c r="P28" s="43"/>
    </row>
    <row r="29" spans="2:22">
      <c r="B29" s="50">
        <v>440</v>
      </c>
      <c r="C29" s="115">
        <f>'SiO2_Thickness Table'!$U$55</f>
        <v>3401.8393877551025</v>
      </c>
      <c r="D29" s="71">
        <f>'SiO2_Thickness Table'!$U$58</f>
        <v>6.1174212030977872E-2</v>
      </c>
      <c r="E29" s="29"/>
      <c r="F29" s="29">
        <v>440</v>
      </c>
      <c r="G29" s="115">
        <f>'SiO2_Thickness Table'!$U$59</f>
        <v>3480.0932000000007</v>
      </c>
      <c r="H29" s="70">
        <f>'SiO2_Thickness Table'!$U$62</f>
        <v>2.9434403946112814E-2</v>
      </c>
    </row>
    <row r="30" spans="2:22">
      <c r="B30" s="50"/>
      <c r="C30" s="29"/>
      <c r="D30" s="29"/>
      <c r="E30" s="29"/>
      <c r="F30" s="29"/>
      <c r="G30" s="29"/>
      <c r="H30" s="30"/>
      <c r="J30" s="43"/>
      <c r="K30" s="43"/>
      <c r="L30" s="43"/>
      <c r="M30" s="43"/>
    </row>
    <row r="31" spans="2:22" ht="19.2">
      <c r="B31" s="159" t="s">
        <v>82</v>
      </c>
      <c r="C31" s="160"/>
      <c r="D31" s="160"/>
      <c r="E31" s="29"/>
      <c r="F31" s="160" t="s">
        <v>82</v>
      </c>
      <c r="G31" s="160"/>
      <c r="H31" s="161"/>
      <c r="N31" s="43"/>
      <c r="O31" s="43"/>
      <c r="Q31" s="43"/>
      <c r="S31" s="43"/>
      <c r="T31" s="43"/>
    </row>
    <row r="32" spans="2:22">
      <c r="B32" s="50" t="s">
        <v>83</v>
      </c>
      <c r="C32" s="29" t="s">
        <v>75</v>
      </c>
      <c r="D32" s="29" t="s">
        <v>76</v>
      </c>
      <c r="E32" s="29"/>
      <c r="F32" s="29" t="s">
        <v>83</v>
      </c>
      <c r="G32" s="29" t="s">
        <v>75</v>
      </c>
      <c r="H32" s="30" t="s">
        <v>76</v>
      </c>
      <c r="M32" s="43"/>
      <c r="N32" s="43"/>
      <c r="P32" s="43"/>
      <c r="R32" s="43"/>
      <c r="S32" s="43"/>
      <c r="U32" s="43"/>
      <c r="V32" s="43"/>
    </row>
    <row r="33" spans="2:25">
      <c r="B33" s="50">
        <v>180</v>
      </c>
      <c r="C33" s="115">
        <f>'SiO2_Thickness Table'!$L$55</f>
        <v>3219.0679591836733</v>
      </c>
      <c r="D33" s="71">
        <f>'SiO2_Thickness Table'!$L$58</f>
        <v>5.4440468163822746E-2</v>
      </c>
      <c r="E33" s="29"/>
      <c r="F33" s="29">
        <v>180</v>
      </c>
      <c r="G33" s="115">
        <f>'SiO2_Thickness Table'!$L$59</f>
        <v>3270.7432000000008</v>
      </c>
      <c r="H33" s="70">
        <f>'SiO2_Thickness Table'!$L$62</f>
        <v>2.9591991762183686E-2</v>
      </c>
      <c r="N33" s="43"/>
      <c r="O33" s="43"/>
      <c r="Q33" s="43"/>
      <c r="S33" s="43"/>
      <c r="T33" s="43"/>
    </row>
    <row r="34" spans="2:25">
      <c r="B34" s="50">
        <v>200</v>
      </c>
      <c r="C34" s="115">
        <f>'SiO2_Thickness Table'!$M$55</f>
        <v>3375.5532653061227</v>
      </c>
      <c r="D34" s="71">
        <f>'SiO2_Thickness Table'!$M$58</f>
        <v>5.6060304187407969E-2</v>
      </c>
      <c r="E34" s="29"/>
      <c r="F34" s="29">
        <v>200</v>
      </c>
      <c r="G34" s="115">
        <f>'SiO2_Thickness Table'!$M$59</f>
        <v>3437.9115999999999</v>
      </c>
      <c r="H34" s="70">
        <f>'SiO2_Thickness Table'!$M$62</f>
        <v>2.9013494478867887E-2</v>
      </c>
      <c r="S34" s="43"/>
      <c r="T34" s="43"/>
      <c r="V34" s="43"/>
      <c r="X34" s="43"/>
      <c r="Y34" s="43"/>
    </row>
    <row r="35" spans="2:25">
      <c r="B35" s="50">
        <v>220</v>
      </c>
      <c r="C35" s="115">
        <f>'SiO2_Thickness Table'!$N$55</f>
        <v>3508.4518367346936</v>
      </c>
      <c r="D35" s="71">
        <f>'SiO2_Thickness Table'!$N$58</f>
        <v>6.2134826758711868E-2</v>
      </c>
      <c r="E35" s="29"/>
      <c r="F35" s="29">
        <v>220</v>
      </c>
      <c r="G35" s="115">
        <f>'SiO2_Thickness Table'!$N$59</f>
        <v>3581.2336</v>
      </c>
      <c r="H35" s="70">
        <f>'SiO2_Thickness Table'!$N$62</f>
        <v>3.1142217527618955E-2</v>
      </c>
      <c r="O35" s="43"/>
      <c r="P35" s="43"/>
    </row>
    <row r="36" spans="2:25">
      <c r="B36" s="50"/>
      <c r="C36" s="29"/>
      <c r="D36" s="29"/>
      <c r="E36" s="29"/>
      <c r="F36" s="29"/>
      <c r="G36" s="29"/>
      <c r="H36" s="30"/>
      <c r="O36" s="43"/>
      <c r="P36" s="43"/>
    </row>
    <row r="37" spans="2:25" ht="19.2">
      <c r="B37" s="159" t="s">
        <v>87</v>
      </c>
      <c r="C37" s="160"/>
      <c r="D37" s="160"/>
      <c r="E37" s="29"/>
      <c r="F37" s="160" t="s">
        <v>87</v>
      </c>
      <c r="G37" s="160"/>
      <c r="H37" s="161"/>
    </row>
    <row r="38" spans="2:25">
      <c r="B38" s="50" t="s">
        <v>88</v>
      </c>
      <c r="C38" s="29" t="s">
        <v>75</v>
      </c>
      <c r="D38" s="29" t="s">
        <v>76</v>
      </c>
      <c r="E38" s="29"/>
      <c r="F38" s="29" t="s">
        <v>88</v>
      </c>
      <c r="G38" s="29" t="s">
        <v>75</v>
      </c>
      <c r="H38" s="30" t="s">
        <v>76</v>
      </c>
      <c r="M38" s="43"/>
      <c r="N38" s="43"/>
    </row>
    <row r="39" spans="2:25">
      <c r="B39" s="50">
        <v>3600</v>
      </c>
      <c r="C39" s="115">
        <f>'SiO2_Thickness Table'!$O$55</f>
        <v>3361.5836734693871</v>
      </c>
      <c r="D39" s="71">
        <f>'SiO2_Thickness Table'!$O$58</f>
        <v>6.1006309134059009E-2</v>
      </c>
      <c r="E39" s="29"/>
      <c r="F39" s="29">
        <v>3600</v>
      </c>
      <c r="G39" s="115">
        <f>'SiO2_Thickness Table'!$O$59</f>
        <v>3431.8555999999994</v>
      </c>
      <c r="H39" s="70">
        <f>'SiO2_Thickness Table'!$O$62</f>
        <v>3.276777051748124E-2</v>
      </c>
      <c r="M39" s="43"/>
      <c r="N39" s="43"/>
    </row>
    <row r="40" spans="2:25">
      <c r="B40" s="50">
        <v>4000</v>
      </c>
      <c r="C40" s="115">
        <f>'SiO2_Thickness Table'!$P$55</f>
        <v>3379.7451020408166</v>
      </c>
      <c r="D40" s="71">
        <f>'SiO2_Thickness Table'!$P$58</f>
        <v>5.6254187805111502E-2</v>
      </c>
      <c r="E40" s="29"/>
      <c r="F40" s="29">
        <v>4000</v>
      </c>
      <c r="G40" s="115">
        <f>'SiO2_Thickness Table'!$P$59</f>
        <v>3442.0256000000004</v>
      </c>
      <c r="H40" s="70">
        <f>'SiO2_Thickness Table'!$P$62</f>
        <v>2.9185666423294902E-2</v>
      </c>
      <c r="M40" s="43"/>
      <c r="N40" s="43"/>
    </row>
    <row r="41" spans="2:25">
      <c r="B41" s="50">
        <v>4400</v>
      </c>
      <c r="C41" s="115">
        <f>'SiO2_Thickness Table'!$Q$55</f>
        <v>3408.1048979591837</v>
      </c>
      <c r="D41" s="71">
        <f>'SiO2_Thickness Table'!$Q$58</f>
        <v>5.4500058634136359E-2</v>
      </c>
      <c r="E41" s="29"/>
      <c r="F41" s="29">
        <v>4400</v>
      </c>
      <c r="G41" s="115">
        <f>'SiO2_Thickness Table'!$Q$59</f>
        <v>3464.3411999999998</v>
      </c>
      <c r="H41" s="70">
        <f>'SiO2_Thickness Table'!$Q$62</f>
        <v>2.8336341883212292E-2</v>
      </c>
      <c r="M41" s="43"/>
      <c r="N41" s="43"/>
    </row>
    <row r="42" spans="2:25">
      <c r="B42" s="50"/>
      <c r="C42" s="29"/>
      <c r="D42" s="29"/>
      <c r="E42" s="29"/>
      <c r="F42" s="29"/>
      <c r="G42" s="29"/>
      <c r="H42" s="30"/>
      <c r="M42" s="43"/>
      <c r="N42" s="43"/>
    </row>
    <row r="43" spans="2:25" ht="19.2">
      <c r="B43" s="159" t="s">
        <v>89</v>
      </c>
      <c r="C43" s="160"/>
      <c r="D43" s="160"/>
      <c r="E43" s="29"/>
      <c r="F43" s="160" t="s">
        <v>89</v>
      </c>
      <c r="G43" s="160"/>
      <c r="H43" s="161"/>
      <c r="M43" s="43"/>
      <c r="N43" s="43"/>
    </row>
    <row r="44" spans="2:25">
      <c r="B44" s="50" t="s">
        <v>90</v>
      </c>
      <c r="C44" s="29" t="s">
        <v>75</v>
      </c>
      <c r="D44" s="29" t="s">
        <v>76</v>
      </c>
      <c r="E44" s="29"/>
      <c r="F44" s="29" t="s">
        <v>90</v>
      </c>
      <c r="G44" s="29" t="s">
        <v>75</v>
      </c>
      <c r="H44" s="30" t="s">
        <v>76</v>
      </c>
    </row>
    <row r="45" spans="2:25">
      <c r="B45" s="50">
        <v>2700</v>
      </c>
      <c r="C45" s="115">
        <f>'SiO2_Thickness Table'!$R$55</f>
        <v>3444.7877551020415</v>
      </c>
      <c r="D45" s="71">
        <f>'SiO2_Thickness Table'!$R$58</f>
        <v>5.7910077628710255E-2</v>
      </c>
      <c r="E45" s="29"/>
      <c r="F45" s="29">
        <v>2700</v>
      </c>
      <c r="G45" s="115">
        <f>'SiO2_Thickness Table'!$R$59</f>
        <v>3509.2052000000012</v>
      </c>
      <c r="H45" s="70">
        <f>'SiO2_Thickness Table'!$R$62</f>
        <v>2.9682441630346491E-2</v>
      </c>
    </row>
    <row r="46" spans="2:25">
      <c r="B46" s="50">
        <v>3000</v>
      </c>
      <c r="C46" s="115">
        <f>'SiO2_Thickness Table'!$S$55</f>
        <v>3390.2620408163257</v>
      </c>
      <c r="D46" s="71">
        <f>'SiO2_Thickness Table'!$S$58</f>
        <v>5.6619369470181889E-2</v>
      </c>
      <c r="E46" s="29"/>
      <c r="F46" s="29">
        <v>3000</v>
      </c>
      <c r="G46" s="115">
        <f>'SiO2_Thickness Table'!$S$59</f>
        <v>3451.6887999999999</v>
      </c>
      <c r="H46" s="70">
        <f>'SiO2_Thickness Table'!$S$62</f>
        <v>2.9178898415927881E-2</v>
      </c>
    </row>
    <row r="47" spans="2:25" ht="18" thickBot="1">
      <c r="B47" s="51">
        <v>3300</v>
      </c>
      <c r="C47" s="117">
        <f>'SiO2_Thickness Table'!$T$55</f>
        <v>3324.3316326530617</v>
      </c>
      <c r="D47" s="123">
        <f>'SiO2_Thickness Table'!$T$58</f>
        <v>5.826919244093437E-2</v>
      </c>
      <c r="E47" s="33"/>
      <c r="F47" s="33">
        <v>3300</v>
      </c>
      <c r="G47" s="117">
        <f>'SiO2_Thickness Table'!$T$59</f>
        <v>3384.3452000000002</v>
      </c>
      <c r="H47" s="118">
        <f>'SiO2_Thickness Table'!$T$62</f>
        <v>3.106494184124671E-2</v>
      </c>
    </row>
    <row r="60" spans="2:13">
      <c r="B60" s="43"/>
      <c r="C60" s="43"/>
      <c r="D60" s="43"/>
    </row>
    <row r="61" spans="2:13">
      <c r="B61" s="43"/>
      <c r="C61" s="43"/>
      <c r="D61" s="43"/>
    </row>
    <row r="62" spans="2:13">
      <c r="B62" s="22"/>
      <c r="C62" s="22"/>
      <c r="D62" s="22"/>
    </row>
    <row r="63" spans="2:13">
      <c r="E63" s="43"/>
      <c r="F63" s="43"/>
      <c r="G63" s="43"/>
      <c r="H63" s="43"/>
      <c r="I63" s="43"/>
      <c r="J63" s="43"/>
      <c r="K63" s="43"/>
      <c r="L63" s="43"/>
      <c r="M63" s="43"/>
    </row>
    <row r="64" spans="2:13">
      <c r="E64" s="43"/>
      <c r="F64" s="43"/>
      <c r="G64" s="43"/>
      <c r="H64" s="43"/>
      <c r="I64" s="43"/>
      <c r="J64" s="43"/>
      <c r="K64" s="43"/>
      <c r="L64" s="43"/>
      <c r="M64" s="43"/>
    </row>
    <row r="65" spans="5:13">
      <c r="E65" s="22"/>
      <c r="F65" s="22"/>
      <c r="G65" s="22"/>
      <c r="H65" s="22"/>
      <c r="I65" s="22"/>
      <c r="J65" s="22"/>
      <c r="K65" s="22"/>
      <c r="L65" s="22"/>
      <c r="M65" s="22"/>
    </row>
  </sheetData>
  <mergeCells count="32">
    <mergeCell ref="N11:P11"/>
    <mergeCell ref="R11:T11"/>
    <mergeCell ref="N20:P20"/>
    <mergeCell ref="R20:T20"/>
    <mergeCell ref="N9:T9"/>
    <mergeCell ref="M4:M5"/>
    <mergeCell ref="B2:M2"/>
    <mergeCell ref="B13:D13"/>
    <mergeCell ref="B19:D19"/>
    <mergeCell ref="B11:D11"/>
    <mergeCell ref="H4:H5"/>
    <mergeCell ref="I4:J4"/>
    <mergeCell ref="B3:H3"/>
    <mergeCell ref="I3:M3"/>
    <mergeCell ref="K4:K5"/>
    <mergeCell ref="E4:E5"/>
    <mergeCell ref="B4:D4"/>
    <mergeCell ref="L4:L5"/>
    <mergeCell ref="F4:F5"/>
    <mergeCell ref="G4:G5"/>
    <mergeCell ref="B9:H9"/>
    <mergeCell ref="B37:D37"/>
    <mergeCell ref="B43:D43"/>
    <mergeCell ref="F11:H11"/>
    <mergeCell ref="F13:H13"/>
    <mergeCell ref="F19:H19"/>
    <mergeCell ref="F25:H25"/>
    <mergeCell ref="F31:H31"/>
    <mergeCell ref="F37:H37"/>
    <mergeCell ref="F43:H43"/>
    <mergeCell ref="B25:D25"/>
    <mergeCell ref="B31:D3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SiO2_Thickness Table</vt:lpstr>
      <vt:lpstr>결과 정리</vt:lpstr>
      <vt:lpstr>결과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백재근</dc:creator>
  <cp:lastModifiedBy>DIJANG</cp:lastModifiedBy>
  <dcterms:created xsi:type="dcterms:W3CDTF">2021-06-11T11:56:46Z</dcterms:created>
  <dcterms:modified xsi:type="dcterms:W3CDTF">2026-05-23T07:01:12Z</dcterms:modified>
</cp:coreProperties>
</file>